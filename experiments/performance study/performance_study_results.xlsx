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epingbusiness.sharepoint.com/sites/deepIng/Freigegebene Dokumente/23 Projekte/2024 deep.Control/data_agent_deeping/Abgabe Thesis/Experiments/"/>
    </mc:Choice>
  </mc:AlternateContent>
  <xr:revisionPtr revIDLastSave="0" documentId="8_{85B29ACB-4B7A-44BB-B923-FBBBE376B5FD}" xr6:coauthVersionLast="47" xr6:coauthVersionMax="47" xr10:uidLastSave="{00000000-0000-0000-0000-000000000000}"/>
  <bookViews>
    <workbookView xWindow="-108" yWindow="-108" windowWidth="23256" windowHeight="12456" xr2:uid="{C4C265F4-8B92-438D-9390-44DAE045138D}"/>
  </bookViews>
  <sheets>
    <sheet name="Data &amp; Analysis" sheetId="1" r:id="rId1"/>
    <sheet name="Tabular Data 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C3" i="1"/>
  <c r="AD3" i="1"/>
  <c r="AB4" i="1"/>
  <c r="AC4" i="1"/>
  <c r="AD4" i="1"/>
  <c r="AB5" i="1"/>
  <c r="AC5" i="1"/>
  <c r="AD5" i="1"/>
  <c r="AB6" i="1"/>
  <c r="AC6" i="1"/>
  <c r="AD6" i="1"/>
  <c r="AB7" i="1"/>
  <c r="AC7" i="1"/>
  <c r="AD7" i="1"/>
  <c r="AB8" i="1"/>
  <c r="AC8" i="1"/>
  <c r="AD8" i="1"/>
  <c r="AD2" i="1"/>
  <c r="AB2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57" i="1"/>
  <c r="O57" i="1"/>
  <c r="P57" i="1"/>
  <c r="N58" i="1"/>
  <c r="O58" i="1"/>
  <c r="P58" i="1"/>
  <c r="N59" i="1"/>
  <c r="O59" i="1"/>
  <c r="P59" i="1"/>
  <c r="N60" i="1"/>
  <c r="O60" i="1"/>
  <c r="P60" i="1"/>
  <c r="N61" i="1"/>
  <c r="O61" i="1"/>
  <c r="P61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68" i="1"/>
  <c r="O68" i="1"/>
  <c r="P68" i="1"/>
  <c r="N69" i="1"/>
  <c r="O69" i="1"/>
  <c r="P69" i="1"/>
  <c r="N70" i="1"/>
  <c r="O70" i="1"/>
  <c r="P70" i="1"/>
  <c r="N71" i="1"/>
  <c r="O71" i="1"/>
  <c r="P71" i="1"/>
  <c r="N72" i="1"/>
  <c r="O72" i="1"/>
  <c r="P72" i="1"/>
  <c r="N73" i="1"/>
  <c r="O73" i="1"/>
  <c r="P73" i="1"/>
  <c r="N74" i="1"/>
  <c r="O74" i="1"/>
  <c r="P74" i="1"/>
  <c r="N75" i="1"/>
  <c r="O75" i="1"/>
  <c r="P75" i="1"/>
  <c r="N76" i="1"/>
  <c r="O76" i="1"/>
  <c r="P76" i="1"/>
  <c r="N77" i="1"/>
  <c r="O77" i="1"/>
  <c r="P77" i="1"/>
  <c r="N78" i="1"/>
  <c r="O78" i="1"/>
  <c r="P78" i="1"/>
  <c r="N79" i="1"/>
  <c r="O79" i="1"/>
  <c r="P79" i="1"/>
  <c r="N80" i="1"/>
  <c r="O80" i="1"/>
  <c r="P80" i="1"/>
  <c r="N81" i="1"/>
  <c r="O81" i="1"/>
  <c r="P81" i="1"/>
  <c r="N82" i="1"/>
  <c r="O82" i="1"/>
  <c r="P82" i="1"/>
  <c r="N83" i="1"/>
  <c r="O83" i="1"/>
  <c r="P83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0" i="1"/>
  <c r="O90" i="1"/>
  <c r="P90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N98" i="1"/>
  <c r="O98" i="1"/>
  <c r="P98" i="1"/>
  <c r="N99" i="1"/>
  <c r="O99" i="1"/>
  <c r="P99" i="1"/>
  <c r="N100" i="1"/>
  <c r="O100" i="1"/>
  <c r="P100" i="1"/>
  <c r="N101" i="1"/>
  <c r="O101" i="1"/>
  <c r="P101" i="1"/>
  <c r="N102" i="1"/>
  <c r="O102" i="1"/>
  <c r="P102" i="1"/>
  <c r="N103" i="1"/>
  <c r="O103" i="1"/>
  <c r="P103" i="1"/>
  <c r="N104" i="1"/>
  <c r="O104" i="1"/>
  <c r="P104" i="1"/>
  <c r="N105" i="1"/>
  <c r="O105" i="1"/>
  <c r="P105" i="1"/>
  <c r="N106" i="1"/>
  <c r="O106" i="1"/>
  <c r="P106" i="1"/>
  <c r="N107" i="1"/>
  <c r="O107" i="1"/>
  <c r="P107" i="1"/>
  <c r="N108" i="1"/>
  <c r="O108" i="1"/>
  <c r="P108" i="1"/>
  <c r="N109" i="1"/>
  <c r="O109" i="1"/>
  <c r="P109" i="1"/>
  <c r="N110" i="1"/>
  <c r="O110" i="1"/>
  <c r="P110" i="1"/>
  <c r="N111" i="1"/>
  <c r="O111" i="1"/>
  <c r="P111" i="1"/>
  <c r="N112" i="1"/>
  <c r="O112" i="1"/>
  <c r="P112" i="1"/>
  <c r="N113" i="1"/>
  <c r="O113" i="1"/>
  <c r="P113" i="1"/>
  <c r="N114" i="1"/>
  <c r="O114" i="1"/>
  <c r="P114" i="1"/>
  <c r="N115" i="1"/>
  <c r="O115" i="1"/>
  <c r="P115" i="1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AC2" i="1" s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N140" i="1"/>
  <c r="O140" i="1"/>
  <c r="P140" i="1"/>
  <c r="N141" i="1"/>
  <c r="O141" i="1"/>
  <c r="P141" i="1"/>
  <c r="N142" i="1"/>
  <c r="O142" i="1"/>
  <c r="P142" i="1"/>
  <c r="N143" i="1"/>
  <c r="O143" i="1"/>
  <c r="P143" i="1"/>
  <c r="N144" i="1"/>
  <c r="O144" i="1"/>
  <c r="P144" i="1"/>
  <c r="N145" i="1"/>
  <c r="O145" i="1"/>
  <c r="P145" i="1"/>
  <c r="N146" i="1"/>
  <c r="O146" i="1"/>
  <c r="P146" i="1"/>
  <c r="N147" i="1"/>
  <c r="O147" i="1"/>
  <c r="P147" i="1"/>
  <c r="N148" i="1"/>
  <c r="O148" i="1"/>
  <c r="P148" i="1"/>
  <c r="N149" i="1"/>
  <c r="O149" i="1"/>
  <c r="P149" i="1"/>
  <c r="N150" i="1"/>
  <c r="O150" i="1"/>
  <c r="P150" i="1"/>
  <c r="N151" i="1"/>
  <c r="O151" i="1"/>
  <c r="P151" i="1"/>
  <c r="N152" i="1"/>
  <c r="O152" i="1"/>
  <c r="P152" i="1"/>
  <c r="N153" i="1"/>
  <c r="O153" i="1"/>
  <c r="P153" i="1"/>
  <c r="N154" i="1"/>
  <c r="O154" i="1"/>
  <c r="P154" i="1"/>
  <c r="N155" i="1"/>
  <c r="O155" i="1"/>
  <c r="P155" i="1"/>
  <c r="N156" i="1"/>
  <c r="O156" i="1"/>
  <c r="P156" i="1"/>
  <c r="N157" i="1"/>
  <c r="O157" i="1"/>
  <c r="P157" i="1"/>
  <c r="N158" i="1"/>
  <c r="O158" i="1"/>
  <c r="P158" i="1"/>
  <c r="N159" i="1"/>
  <c r="O159" i="1"/>
  <c r="P159" i="1"/>
  <c r="N160" i="1"/>
  <c r="O160" i="1"/>
  <c r="P160" i="1"/>
  <c r="N161" i="1"/>
  <c r="O161" i="1"/>
  <c r="P161" i="1"/>
  <c r="N162" i="1"/>
  <c r="O162" i="1"/>
  <c r="P162" i="1"/>
  <c r="N163" i="1"/>
  <c r="O163" i="1"/>
  <c r="P163" i="1"/>
  <c r="N164" i="1"/>
  <c r="O164" i="1"/>
  <c r="P164" i="1"/>
  <c r="N165" i="1"/>
  <c r="O165" i="1"/>
  <c r="P165" i="1"/>
  <c r="N166" i="1"/>
  <c r="O166" i="1"/>
  <c r="P166" i="1"/>
  <c r="N167" i="1"/>
  <c r="O167" i="1"/>
  <c r="P167" i="1"/>
  <c r="N168" i="1"/>
  <c r="O168" i="1"/>
  <c r="P168" i="1"/>
  <c r="N169" i="1"/>
  <c r="O169" i="1"/>
  <c r="P169" i="1"/>
  <c r="N170" i="1"/>
  <c r="O170" i="1"/>
  <c r="P170" i="1"/>
  <c r="N171" i="1"/>
  <c r="O171" i="1"/>
  <c r="P171" i="1"/>
  <c r="N172" i="1"/>
  <c r="O172" i="1"/>
  <c r="P172" i="1"/>
  <c r="N173" i="1"/>
  <c r="O173" i="1"/>
  <c r="P173" i="1"/>
  <c r="N174" i="1"/>
  <c r="O174" i="1"/>
  <c r="P174" i="1"/>
  <c r="N175" i="1"/>
  <c r="O175" i="1"/>
  <c r="P175" i="1"/>
  <c r="N176" i="1"/>
  <c r="O176" i="1"/>
  <c r="P176" i="1"/>
  <c r="N177" i="1"/>
  <c r="O177" i="1"/>
  <c r="P177" i="1"/>
  <c r="N178" i="1"/>
  <c r="O178" i="1"/>
  <c r="P178" i="1"/>
  <c r="N179" i="1"/>
  <c r="O179" i="1"/>
  <c r="P179" i="1"/>
  <c r="N180" i="1"/>
  <c r="O180" i="1"/>
  <c r="P180" i="1"/>
  <c r="N181" i="1"/>
  <c r="O181" i="1"/>
  <c r="P181" i="1"/>
  <c r="N182" i="1"/>
  <c r="O182" i="1"/>
  <c r="P182" i="1"/>
  <c r="N183" i="1"/>
  <c r="O183" i="1"/>
  <c r="P183" i="1"/>
  <c r="N184" i="1"/>
  <c r="O184" i="1"/>
  <c r="P184" i="1"/>
  <c r="N185" i="1"/>
  <c r="O185" i="1"/>
  <c r="P185" i="1"/>
  <c r="N186" i="1"/>
  <c r="O186" i="1"/>
  <c r="P186" i="1"/>
  <c r="N187" i="1"/>
  <c r="O187" i="1"/>
  <c r="P187" i="1"/>
  <c r="N188" i="1"/>
  <c r="O188" i="1"/>
  <c r="P188" i="1"/>
  <c r="N189" i="1"/>
  <c r="O189" i="1"/>
  <c r="P189" i="1"/>
  <c r="N190" i="1"/>
  <c r="O190" i="1"/>
  <c r="P190" i="1"/>
  <c r="N191" i="1"/>
  <c r="O191" i="1"/>
  <c r="P191" i="1"/>
  <c r="N192" i="1"/>
  <c r="O192" i="1"/>
  <c r="P192" i="1"/>
  <c r="N193" i="1"/>
  <c r="O193" i="1"/>
  <c r="P193" i="1"/>
  <c r="N194" i="1"/>
  <c r="O194" i="1"/>
  <c r="P194" i="1"/>
  <c r="N195" i="1"/>
  <c r="O195" i="1"/>
  <c r="P195" i="1"/>
  <c r="N196" i="1"/>
  <c r="O196" i="1"/>
  <c r="P196" i="1"/>
  <c r="N197" i="1"/>
  <c r="O197" i="1"/>
  <c r="P197" i="1"/>
  <c r="N198" i="1"/>
  <c r="O198" i="1"/>
  <c r="P198" i="1"/>
  <c r="N199" i="1"/>
  <c r="O199" i="1"/>
  <c r="P199" i="1"/>
  <c r="N200" i="1"/>
  <c r="O200" i="1"/>
  <c r="P200" i="1"/>
  <c r="N201" i="1"/>
  <c r="O201" i="1"/>
  <c r="P201" i="1"/>
  <c r="N202" i="1"/>
  <c r="O202" i="1"/>
  <c r="P202" i="1"/>
  <c r="N203" i="1"/>
  <c r="O203" i="1"/>
  <c r="P203" i="1"/>
  <c r="N204" i="1"/>
  <c r="O204" i="1"/>
  <c r="P204" i="1"/>
  <c r="N205" i="1"/>
  <c r="O205" i="1"/>
  <c r="P205" i="1"/>
  <c r="N206" i="1"/>
  <c r="O206" i="1"/>
  <c r="P206" i="1"/>
  <c r="N207" i="1"/>
  <c r="O207" i="1"/>
  <c r="P207" i="1"/>
  <c r="N208" i="1"/>
  <c r="O208" i="1"/>
  <c r="P208" i="1"/>
  <c r="N209" i="1"/>
  <c r="O209" i="1"/>
  <c r="P209" i="1"/>
  <c r="N210" i="1"/>
  <c r="O210" i="1"/>
  <c r="P210" i="1"/>
  <c r="N211" i="1"/>
  <c r="O211" i="1"/>
  <c r="P211" i="1"/>
  <c r="N3" i="1"/>
  <c r="O3" i="1"/>
  <c r="P3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O2" i="1"/>
  <c r="P2" i="1"/>
  <c r="N2" i="1"/>
  <c r="X2" i="1"/>
  <c r="Y2" i="1"/>
  <c r="Z2" i="1"/>
  <c r="X3" i="1"/>
  <c r="Y3" i="1"/>
  <c r="Z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1" i="1"/>
  <c r="Y1" i="1"/>
  <c r="Z1" i="1"/>
  <c r="U1" i="1"/>
  <c r="V1" i="1"/>
  <c r="W1" i="1"/>
  <c r="U2" i="1"/>
  <c r="V2" i="1"/>
  <c r="W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S1" i="1"/>
  <c r="T1" i="1"/>
  <c r="R1" i="1"/>
  <c r="S2" i="1"/>
  <c r="T2" i="1"/>
  <c r="S3" i="1"/>
  <c r="T3" i="1"/>
  <c r="S4" i="1"/>
  <c r="T4" i="1"/>
  <c r="S5" i="1"/>
  <c r="T5" i="1"/>
  <c r="S6" i="1"/>
  <c r="T6" i="1"/>
  <c r="S7" i="1"/>
  <c r="T7" i="1"/>
  <c r="S8" i="1"/>
  <c r="T8" i="1"/>
  <c r="R3" i="1"/>
  <c r="R4" i="1"/>
  <c r="R5" i="1"/>
  <c r="R6" i="1"/>
  <c r="R7" i="1"/>
  <c r="R8" i="1"/>
  <c r="R2" i="1"/>
  <c r="AD9" i="1" l="1"/>
  <c r="AC9" i="1"/>
  <c r="AB9" i="1"/>
  <c r="Z9" i="1"/>
  <c r="Y9" i="1"/>
  <c r="X9" i="1"/>
  <c r="W9" i="1"/>
  <c r="V9" i="1"/>
  <c r="U9" i="1"/>
  <c r="T9" i="1"/>
  <c r="S9" i="1"/>
  <c r="R9" i="1"/>
</calcChain>
</file>

<file path=xl/sharedStrings.xml><?xml version="1.0" encoding="utf-8"?>
<sst xmlns="http://schemas.openxmlformats.org/spreadsheetml/2006/main" count="699" uniqueCount="57">
  <si>
    <t>Prompt</t>
  </si>
  <si>
    <t>"Show the distribution of end schedule deviation for operations labeled 'mit TA'."</t>
  </si>
  <si>
    <t>"Display the distribution of cycle time deviation for sawing operations with completion in 2024."</t>
  </si>
  <si>
    <t>"Compare the max lead times for Fräsen Gruppe Kleinteile by operation type."</t>
  </si>
  <si>
    <t>"Over time, how is monthly start schedule deviation developing for function check operations?"</t>
  </si>
  <si>
    <t>"Show me the trend for weekly end schedule deviations of operations in 2025."</t>
  </si>
  <si>
    <t>"Show me how the numerical values in the data are related to each other, finished operations only."</t>
  </si>
  <si>
    <t>"What are the main drivers for end-dates being higher or lower? Only operations in 2024."</t>
  </si>
  <si>
    <t>"Which drivers affected lead times for assembly operations?"</t>
  </si>
  <si>
    <t>"Forecast weekly average end-date deviation for the next 6 weeks."</t>
  </si>
  <si>
    <t>"Show me how the maximum start deviation will change for the next 6 weeks."</t>
  </si>
  <si>
    <t>"What is the expected end-date deviation for a new case given start delay of 10 days and run-through time of 3 days."</t>
  </si>
  <si>
    <t>"If start deviation is 3 days and cycle time is 2 days, what would be a good prediction for the end deviation?"</t>
  </si>
  <si>
    <t>"Predict the lead time deviation if lead time is 3 days and start deviation is -20 days."</t>
  </si>
  <si>
    <t>"Classify the likely ta_status if start is 10 days early and resource group ‘Fräsen DM100’."</t>
  </si>
  <si>
    <t>"Which ta status is to expect for a operation type 'Kleinbauteile schlichten' with a cycle time of 1?"</t>
  </si>
  <si>
    <t>"How is the cycle time distributed for Profilschleifen across ta status categories?"</t>
  </si>
  <si>
    <t>"For Konstruktion operations, what are the main statistics about the end schedule deviation?"</t>
  </si>
  <si>
    <t>"Which resource groups drive the end-date deviation the most?"</t>
  </si>
  <si>
    <t>"Forecast the next 16 weeks of weekly average Lead-time deviation."</t>
  </si>
  <si>
    <t>"Which resource group should we route to to minimize end deviation?"</t>
  </si>
  <si>
    <t>"Which operation type would be best for low cycle times?"</t>
  </si>
  <si>
    <t>"I want to improve cycle time (lower is better). What can I do? Show me decision options."</t>
  </si>
  <si>
    <t>"For unfinshed operations: I want to decrease start deviation. What do I need to work on?"</t>
  </si>
  <si>
    <t>"What happens to expected end-date deviation if we route work to 'Fräsen Gruppe 5-Achs' instead of ‘Fräsen DM100’?"</t>
  </si>
  <si>
    <t>Perceived prompt difficulty</t>
  </si>
  <si>
    <t>Task choice quality</t>
  </si>
  <si>
    <t>Data scoping quality</t>
  </si>
  <si>
    <t>Preparation and aggregation quality</t>
  </si>
  <si>
    <t>Metric (0-3)</t>
  </si>
  <si>
    <t>Summary quality</t>
  </si>
  <si>
    <t>Visualization helpfulness</t>
  </si>
  <si>
    <t>Analysis request fulfilment</t>
  </si>
  <si>
    <t>ID</t>
  </si>
  <si>
    <t>"Show me a statistical summary of  the cycle times for ressource group Drahtschneiden."</t>
  </si>
  <si>
    <t>" What are average cycle times by ressource group for finished parts?"</t>
  </si>
  <si>
    <t>"How is the end schedule deviation correlating to the start deviation for Fräsen DM100 operations?"</t>
  </si>
  <si>
    <t>"Could I improve average cycle time if I use '3D CAM' as a substitute for  ‘CAM-Fertigung’?"</t>
  </si>
  <si>
    <t>"Display key statistics of cycle times for finished operations."</t>
  </si>
  <si>
    <t>"Classify a likely ta status in a situation where the operation startet 20 days early with a 'Funktionsprüfung’."</t>
  </si>
  <si>
    <t>Analysis</t>
  </si>
  <si>
    <t>E1+E4, V1</t>
  </si>
  <si>
    <t>E1+E4, V2</t>
  </si>
  <si>
    <t>E1+E4, V3</t>
  </si>
  <si>
    <t>E2+E5, V1</t>
  </si>
  <si>
    <t>E2+E5, V2</t>
  </si>
  <si>
    <t>E2+E5, V3</t>
  </si>
  <si>
    <t>E3+E6, V1</t>
  </si>
  <si>
    <t>E3+E6, V2</t>
  </si>
  <si>
    <t>E3+E6, V3</t>
  </si>
  <si>
    <t>Average</t>
  </si>
  <si>
    <t>V1 (Avg)</t>
  </si>
  <si>
    <t>V2 (Avg)</t>
  </si>
  <si>
    <t>V3 (Avg)</t>
  </si>
  <si>
    <t>V1</t>
  </si>
  <si>
    <t>V2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</si>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</sst>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43" fontId="0" fillId="0" borderId="0" xfId="1" applyFont="1"/>
    <xf numFmtId="43" fontId="0" fillId="0" borderId="0" xfId="1" applyFont="1" applyFill="1"/>
    <xf numFmtId="0" fontId="2" fillId="3" borderId="0" xfId="0" applyFont="1" applyFill="1"/>
    <xf numFmtId="0" fontId="0" fillId="3" borderId="0" xfId="0" applyFill="1"/>
    <xf numFmtId="43" fontId="0" fillId="3" borderId="0" xfId="1" applyFont="1" applyFill="1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4185-FC64-4A5E-8FBE-4FEA8935ABC7}">
  <dimension ref="A1:AD211"/>
  <sheetViews>
    <sheetView tabSelected="1" zoomScale="71" zoomScaleNormal="104" workbookViewId="0">
      <pane xSplit="1" topLeftCell="B1" activePane="topRight" state="frozen"/>
      <selection pane="topRight" activeCell="AD10" sqref="Q10:AD10"/>
    </sheetView>
  </sheetViews>
  <sheetFormatPr baseColWidth="10" defaultRowHeight="14.4" x14ac:dyDescent="0.3"/>
  <cols>
    <col min="2" max="2" width="95.5546875" bestFit="1" customWidth="1"/>
    <col min="3" max="3" width="30.33203125" bestFit="1" customWidth="1"/>
    <col min="4" max="12" width="9.33203125" bestFit="1" customWidth="1"/>
    <col min="17" max="17" width="30.33203125" bestFit="1" customWidth="1"/>
    <col min="26" max="26" width="11.5546875" customWidth="1"/>
    <col min="27" max="27" width="2.6640625" customWidth="1"/>
  </cols>
  <sheetData>
    <row r="1" spans="1:30" x14ac:dyDescent="0.3">
      <c r="A1" s="1" t="s">
        <v>33</v>
      </c>
      <c r="B1" s="1" t="s">
        <v>0</v>
      </c>
      <c r="C1" s="1" t="s">
        <v>29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N1" s="1" t="s">
        <v>51</v>
      </c>
      <c r="O1" s="1" t="s">
        <v>52</v>
      </c>
      <c r="P1" s="1" t="s">
        <v>53</v>
      </c>
      <c r="Q1" s="1" t="s">
        <v>40</v>
      </c>
      <c r="R1" s="1" t="str">
        <f>D1</f>
        <v>E1+E4, V1</v>
      </c>
      <c r="S1" s="1" t="str">
        <f t="shared" ref="S1:T1" si="0">E1</f>
        <v>E1+E4, V2</v>
      </c>
      <c r="T1" s="1" t="str">
        <f t="shared" si="0"/>
        <v>E1+E4, V3</v>
      </c>
      <c r="U1" s="1" t="str">
        <f t="shared" ref="U1" si="1">G1</f>
        <v>E2+E5, V1</v>
      </c>
      <c r="V1" s="1" t="str">
        <f t="shared" ref="V1" si="2">H1</f>
        <v>E2+E5, V2</v>
      </c>
      <c r="W1" s="1" t="str">
        <f t="shared" ref="W1" si="3">I1</f>
        <v>E2+E5, V3</v>
      </c>
      <c r="X1" s="1" t="str">
        <f t="shared" ref="X1" si="4">J1</f>
        <v>E3+E6, V1</v>
      </c>
      <c r="Y1" s="1" t="str">
        <f t="shared" ref="Y1" si="5">K1</f>
        <v>E3+E6, V2</v>
      </c>
      <c r="Z1" s="1" t="str">
        <f t="shared" ref="Z1" si="6">L1</f>
        <v>E3+E6, V3</v>
      </c>
      <c r="AA1" s="5"/>
      <c r="AB1" t="s">
        <v>54</v>
      </c>
      <c r="AC1" t="s">
        <v>55</v>
      </c>
      <c r="AD1" t="s">
        <v>56</v>
      </c>
    </row>
    <row r="2" spans="1:30" x14ac:dyDescent="0.3">
      <c r="A2" s="10">
        <v>1</v>
      </c>
      <c r="B2" s="10" t="s">
        <v>1</v>
      </c>
      <c r="C2" s="2" t="s">
        <v>25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N2" s="4">
        <f>AVERAGE(D2,G2,J2)</f>
        <v>1</v>
      </c>
      <c r="O2" s="4">
        <f t="shared" ref="O2:P2" si="7">AVERAGE(E2,H2,K2)</f>
        <v>1</v>
      </c>
      <c r="P2" s="4">
        <f t="shared" si="7"/>
        <v>1</v>
      </c>
      <c r="Q2" t="s">
        <v>25</v>
      </c>
      <c r="R2">
        <f t="shared" ref="R2:W8" ca="1" si="8">SUMIF($C:$F,$Q2,D:D)</f>
        <v>67</v>
      </c>
      <c r="S2">
        <f t="shared" ca="1" si="8"/>
        <v>67</v>
      </c>
      <c r="T2">
        <f t="shared" ca="1" si="8"/>
        <v>67</v>
      </c>
      <c r="U2">
        <f t="shared" ca="1" si="8"/>
        <v>63</v>
      </c>
      <c r="V2">
        <f t="shared" ca="1" si="8"/>
        <v>63</v>
      </c>
      <c r="W2">
        <f t="shared" ca="1" si="8"/>
        <v>63</v>
      </c>
      <c r="X2">
        <f t="shared" ref="X2:X8" ca="1" si="9">SUMIF($C:$F,$Q2,J:J)</f>
        <v>64</v>
      </c>
      <c r="Y2">
        <f t="shared" ref="Y2:Y8" ca="1" si="10">SUMIF($C:$F,$Q2,K:K)</f>
        <v>64</v>
      </c>
      <c r="Z2">
        <f t="shared" ref="Z2:Z8" ca="1" si="11">SUMIF($C:$F,$Q2,L:L)</f>
        <v>64</v>
      </c>
      <c r="AA2" s="6"/>
      <c r="AB2" s="3">
        <f ca="1">SUMIF($C:$F,$Q2,N:N)</f>
        <v>64.666666666666686</v>
      </c>
      <c r="AC2" s="3">
        <f t="shared" ref="AC2:AD2" ca="1" si="12">SUMIF($C:$F,$Q2,O:O)</f>
        <v>64.666666666666686</v>
      </c>
      <c r="AD2" s="3">
        <f t="shared" ca="1" si="12"/>
        <v>64.666666666666686</v>
      </c>
    </row>
    <row r="3" spans="1:30" x14ac:dyDescent="0.3">
      <c r="A3" s="10"/>
      <c r="B3" s="10"/>
      <c r="C3" t="s">
        <v>26</v>
      </c>
      <c r="D3">
        <v>3</v>
      </c>
      <c r="E3">
        <v>3</v>
      </c>
      <c r="F3">
        <v>3</v>
      </c>
      <c r="G3">
        <v>3</v>
      </c>
      <c r="H3">
        <v>2</v>
      </c>
      <c r="I3">
        <v>3</v>
      </c>
      <c r="J3">
        <v>3</v>
      </c>
      <c r="K3">
        <v>3</v>
      </c>
      <c r="L3">
        <v>3</v>
      </c>
      <c r="N3" s="4">
        <f t="shared" ref="N3:N9" si="13">AVERAGE(D3,G3,J3)</f>
        <v>3</v>
      </c>
      <c r="O3" s="4">
        <f t="shared" ref="O3:O9" si="14">AVERAGE(E3,H3,K3)</f>
        <v>2.6666666666666665</v>
      </c>
      <c r="P3" s="4">
        <f t="shared" ref="P3:P9" si="15">AVERAGE(F3,I3,L3)</f>
        <v>3</v>
      </c>
      <c r="Q3" t="s">
        <v>26</v>
      </c>
      <c r="R3">
        <f t="shared" ca="1" si="8"/>
        <v>84</v>
      </c>
      <c r="S3">
        <f t="shared" ca="1" si="8"/>
        <v>75</v>
      </c>
      <c r="T3">
        <f t="shared" ca="1" si="8"/>
        <v>77</v>
      </c>
      <c r="U3">
        <f t="shared" ca="1" si="8"/>
        <v>79</v>
      </c>
      <c r="V3">
        <f t="shared" ca="1" si="8"/>
        <v>75</v>
      </c>
      <c r="W3">
        <f t="shared" ca="1" si="8"/>
        <v>69</v>
      </c>
      <c r="X3">
        <f t="shared" ca="1" si="9"/>
        <v>88</v>
      </c>
      <c r="Y3">
        <f t="shared" ca="1" si="10"/>
        <v>82</v>
      </c>
      <c r="Z3">
        <f t="shared" ca="1" si="11"/>
        <v>87</v>
      </c>
      <c r="AA3" s="6"/>
      <c r="AB3" s="3">
        <f t="shared" ref="AB3:AB8" ca="1" si="16">SUMIF($C:$F,$Q3,N:N)</f>
        <v>83.666666666666657</v>
      </c>
      <c r="AC3" s="3">
        <f t="shared" ref="AC3:AC8" ca="1" si="17">SUMIF($C:$F,$Q3,O:O)</f>
        <v>77.333333333333343</v>
      </c>
      <c r="AD3" s="3">
        <f t="shared" ref="AD3:AD8" ca="1" si="18">SUMIF($C:$F,$Q3,P:P)</f>
        <v>77.666666666666671</v>
      </c>
    </row>
    <row r="4" spans="1:30" x14ac:dyDescent="0.3">
      <c r="A4" s="10"/>
      <c r="B4" s="10"/>
      <c r="C4" t="s">
        <v>27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N4" s="4">
        <f t="shared" si="13"/>
        <v>3</v>
      </c>
      <c r="O4" s="4">
        <f t="shared" si="14"/>
        <v>3</v>
      </c>
      <c r="P4" s="4">
        <f t="shared" si="15"/>
        <v>3</v>
      </c>
      <c r="Q4" t="s">
        <v>27</v>
      </c>
      <c r="R4">
        <f t="shared" ca="1" si="8"/>
        <v>82</v>
      </c>
      <c r="S4">
        <f t="shared" ca="1" si="8"/>
        <v>82</v>
      </c>
      <c r="T4">
        <f t="shared" ca="1" si="8"/>
        <v>71</v>
      </c>
      <c r="U4">
        <f t="shared" ca="1" si="8"/>
        <v>76</v>
      </c>
      <c r="V4">
        <f t="shared" ca="1" si="8"/>
        <v>87</v>
      </c>
      <c r="W4">
        <f t="shared" ca="1" si="8"/>
        <v>66</v>
      </c>
      <c r="X4">
        <f t="shared" ca="1" si="9"/>
        <v>78</v>
      </c>
      <c r="Y4">
        <f t="shared" ca="1" si="10"/>
        <v>86</v>
      </c>
      <c r="Z4">
        <f t="shared" ca="1" si="11"/>
        <v>75</v>
      </c>
      <c r="AA4" s="6"/>
      <c r="AB4" s="3">
        <f t="shared" ca="1" si="16"/>
        <v>78.666666666666671</v>
      </c>
      <c r="AC4" s="3">
        <f t="shared" ca="1" si="17"/>
        <v>84.999999999999986</v>
      </c>
      <c r="AD4" s="3">
        <f t="shared" ca="1" si="18"/>
        <v>70.666666666666671</v>
      </c>
    </row>
    <row r="5" spans="1:30" x14ac:dyDescent="0.3">
      <c r="A5" s="10"/>
      <c r="B5" s="10"/>
      <c r="C5" t="s">
        <v>28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2</v>
      </c>
      <c r="L5">
        <v>3</v>
      </c>
      <c r="N5" s="4">
        <f t="shared" si="13"/>
        <v>3</v>
      </c>
      <c r="O5" s="4">
        <f t="shared" si="14"/>
        <v>2.6666666666666665</v>
      </c>
      <c r="P5" s="4">
        <f t="shared" si="15"/>
        <v>3</v>
      </c>
      <c r="Q5" t="s">
        <v>28</v>
      </c>
      <c r="R5">
        <f t="shared" ca="1" si="8"/>
        <v>88</v>
      </c>
      <c r="S5">
        <f t="shared" ca="1" si="8"/>
        <v>87</v>
      </c>
      <c r="T5">
        <f t="shared" ca="1" si="8"/>
        <v>82</v>
      </c>
      <c r="U5">
        <f t="shared" ca="1" si="8"/>
        <v>86</v>
      </c>
      <c r="V5">
        <f t="shared" ca="1" si="8"/>
        <v>86</v>
      </c>
      <c r="W5">
        <f t="shared" ca="1" si="8"/>
        <v>76</v>
      </c>
      <c r="X5">
        <f t="shared" ca="1" si="9"/>
        <v>86</v>
      </c>
      <c r="Y5">
        <f t="shared" ca="1" si="10"/>
        <v>83</v>
      </c>
      <c r="Z5">
        <f t="shared" ca="1" si="11"/>
        <v>77</v>
      </c>
      <c r="AA5" s="6"/>
      <c r="AB5" s="3">
        <f t="shared" ca="1" si="16"/>
        <v>86.666666666666686</v>
      </c>
      <c r="AC5" s="3">
        <f t="shared" ca="1" si="17"/>
        <v>85.333333333333343</v>
      </c>
      <c r="AD5" s="3">
        <f t="shared" ca="1" si="18"/>
        <v>78.333333333333329</v>
      </c>
    </row>
    <row r="6" spans="1:30" x14ac:dyDescent="0.3">
      <c r="A6" s="10"/>
      <c r="B6" s="10"/>
      <c r="C6" t="s">
        <v>30</v>
      </c>
      <c r="D6">
        <v>2</v>
      </c>
      <c r="E6">
        <v>3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N6" s="4">
        <f t="shared" si="13"/>
        <v>1.6666666666666667</v>
      </c>
      <c r="O6" s="4">
        <f t="shared" si="14"/>
        <v>2</v>
      </c>
      <c r="P6" s="4">
        <f t="shared" si="15"/>
        <v>1.3333333333333333</v>
      </c>
      <c r="Q6" t="s">
        <v>30</v>
      </c>
      <c r="R6">
        <f t="shared" ca="1" si="8"/>
        <v>76</v>
      </c>
      <c r="S6">
        <f t="shared" ca="1" si="8"/>
        <v>81</v>
      </c>
      <c r="T6">
        <f t="shared" ca="1" si="8"/>
        <v>41</v>
      </c>
      <c r="U6">
        <f t="shared" ca="1" si="8"/>
        <v>70</v>
      </c>
      <c r="V6">
        <f t="shared" ca="1" si="8"/>
        <v>78</v>
      </c>
      <c r="W6">
        <f t="shared" ca="1" si="8"/>
        <v>27</v>
      </c>
      <c r="X6">
        <f t="shared" ca="1" si="9"/>
        <v>63</v>
      </c>
      <c r="Y6">
        <f t="shared" ca="1" si="10"/>
        <v>77</v>
      </c>
      <c r="Z6">
        <f t="shared" ca="1" si="11"/>
        <v>36</v>
      </c>
      <c r="AA6" s="6"/>
      <c r="AB6" s="3">
        <f t="shared" ca="1" si="16"/>
        <v>69.666666666666657</v>
      </c>
      <c r="AC6" s="3">
        <f t="shared" ca="1" si="17"/>
        <v>78.666666666666671</v>
      </c>
      <c r="AD6" s="3">
        <f t="shared" ca="1" si="18"/>
        <v>34.666666666666671</v>
      </c>
    </row>
    <row r="7" spans="1:30" x14ac:dyDescent="0.3">
      <c r="A7" s="10"/>
      <c r="B7" s="10"/>
      <c r="C7" t="s">
        <v>31</v>
      </c>
      <c r="D7">
        <v>3</v>
      </c>
      <c r="E7">
        <v>1</v>
      </c>
      <c r="F7">
        <v>3</v>
      </c>
      <c r="G7">
        <v>3</v>
      </c>
      <c r="H7">
        <v>1</v>
      </c>
      <c r="I7">
        <v>3</v>
      </c>
      <c r="J7">
        <v>3</v>
      </c>
      <c r="K7">
        <v>2</v>
      </c>
      <c r="L7">
        <v>3</v>
      </c>
      <c r="N7" s="4">
        <f t="shared" si="13"/>
        <v>3</v>
      </c>
      <c r="O7" s="4">
        <f t="shared" si="14"/>
        <v>1.3333333333333333</v>
      </c>
      <c r="P7" s="4">
        <f t="shared" si="15"/>
        <v>3</v>
      </c>
      <c r="Q7" t="s">
        <v>31</v>
      </c>
      <c r="R7">
        <f t="shared" ca="1" si="8"/>
        <v>71</v>
      </c>
      <c r="S7">
        <f t="shared" ca="1" si="8"/>
        <v>53</v>
      </c>
      <c r="T7">
        <f t="shared" ca="1" si="8"/>
        <v>65</v>
      </c>
      <c r="U7">
        <f t="shared" ca="1" si="8"/>
        <v>72</v>
      </c>
      <c r="V7">
        <f t="shared" ca="1" si="8"/>
        <v>61</v>
      </c>
      <c r="W7">
        <f t="shared" ca="1" si="8"/>
        <v>59</v>
      </c>
      <c r="X7">
        <f t="shared" ca="1" si="9"/>
        <v>61</v>
      </c>
      <c r="Y7">
        <f t="shared" ca="1" si="10"/>
        <v>60</v>
      </c>
      <c r="Z7">
        <f t="shared" ca="1" si="11"/>
        <v>61</v>
      </c>
      <c r="AA7" s="6"/>
      <c r="AB7" s="3">
        <f t="shared" ca="1" si="16"/>
        <v>68</v>
      </c>
      <c r="AC7" s="3">
        <f t="shared" ca="1" si="17"/>
        <v>58</v>
      </c>
      <c r="AD7" s="3">
        <f t="shared" ca="1" si="18"/>
        <v>61.666666666666671</v>
      </c>
    </row>
    <row r="8" spans="1:30" x14ac:dyDescent="0.3">
      <c r="A8" s="10"/>
      <c r="B8" s="10"/>
      <c r="C8" t="s">
        <v>32</v>
      </c>
      <c r="D8">
        <v>3</v>
      </c>
      <c r="E8">
        <v>3</v>
      </c>
      <c r="F8">
        <v>3</v>
      </c>
      <c r="G8">
        <v>3</v>
      </c>
      <c r="H8">
        <v>2</v>
      </c>
      <c r="I8">
        <v>2</v>
      </c>
      <c r="J8">
        <v>2</v>
      </c>
      <c r="K8">
        <v>2</v>
      </c>
      <c r="L8">
        <v>2</v>
      </c>
      <c r="N8" s="4">
        <f t="shared" si="13"/>
        <v>2.6666666666666665</v>
      </c>
      <c r="O8" s="4">
        <f t="shared" si="14"/>
        <v>2.3333333333333335</v>
      </c>
      <c r="P8" s="4">
        <f t="shared" si="15"/>
        <v>2.3333333333333335</v>
      </c>
      <c r="Q8" t="s">
        <v>32</v>
      </c>
      <c r="R8">
        <f t="shared" ca="1" si="8"/>
        <v>76</v>
      </c>
      <c r="S8">
        <f t="shared" ca="1" si="8"/>
        <v>66</v>
      </c>
      <c r="T8">
        <f t="shared" ca="1" si="8"/>
        <v>60</v>
      </c>
      <c r="U8">
        <f t="shared" ca="1" si="8"/>
        <v>69</v>
      </c>
      <c r="V8">
        <f t="shared" ca="1" si="8"/>
        <v>67</v>
      </c>
      <c r="W8">
        <f t="shared" ca="1" si="8"/>
        <v>45</v>
      </c>
      <c r="X8">
        <f t="shared" ca="1" si="9"/>
        <v>64</v>
      </c>
      <c r="Y8">
        <f t="shared" ca="1" si="10"/>
        <v>68</v>
      </c>
      <c r="Z8">
        <f t="shared" ca="1" si="11"/>
        <v>49</v>
      </c>
      <c r="AA8" s="6"/>
      <c r="AB8" s="3">
        <f t="shared" ca="1" si="16"/>
        <v>69.666666666666671</v>
      </c>
      <c r="AC8" s="3">
        <f t="shared" ca="1" si="17"/>
        <v>67</v>
      </c>
      <c r="AD8" s="3">
        <f t="shared" ca="1" si="18"/>
        <v>51.333333333333336</v>
      </c>
    </row>
    <row r="9" spans="1:30" x14ac:dyDescent="0.3">
      <c r="A9" s="10">
        <v>2</v>
      </c>
      <c r="B9" s="10" t="s">
        <v>34</v>
      </c>
      <c r="C9" s="2" t="s">
        <v>25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1</v>
      </c>
      <c r="L9">
        <v>1</v>
      </c>
      <c r="N9" s="4">
        <f t="shared" si="13"/>
        <v>1.6666666666666667</v>
      </c>
      <c r="O9" s="4">
        <f t="shared" si="14"/>
        <v>1.6666666666666667</v>
      </c>
      <c r="P9" s="4">
        <f t="shared" si="15"/>
        <v>1.6666666666666667</v>
      </c>
      <c r="Q9" s="1" t="s">
        <v>50</v>
      </c>
      <c r="R9" s="3">
        <f ca="1">AVERAGE(R3:R8)</f>
        <v>79.5</v>
      </c>
      <c r="S9" s="3">
        <f t="shared" ref="S9:T9" ca="1" si="19">AVERAGE(S3:S8)</f>
        <v>74</v>
      </c>
      <c r="T9" s="3">
        <f t="shared" ca="1" si="19"/>
        <v>66</v>
      </c>
      <c r="U9" s="3">
        <f t="shared" ref="U9" ca="1" si="20">AVERAGE(U3:U8)</f>
        <v>75.333333333333329</v>
      </c>
      <c r="V9" s="3">
        <f t="shared" ref="V9" ca="1" si="21">AVERAGE(V3:V8)</f>
        <v>75.666666666666671</v>
      </c>
      <c r="W9" s="3">
        <f t="shared" ref="W9" ca="1" si="22">AVERAGE(W3:W8)</f>
        <v>57</v>
      </c>
      <c r="X9" s="3">
        <f t="shared" ref="X9" ca="1" si="23">AVERAGE(X3:X8)</f>
        <v>73.333333333333329</v>
      </c>
      <c r="Y9" s="3">
        <f t="shared" ref="Y9" ca="1" si="24">AVERAGE(Y3:Y8)</f>
        <v>76</v>
      </c>
      <c r="Z9" s="3">
        <f t="shared" ref="Z9" ca="1" si="25">AVERAGE(Z3:Z8)</f>
        <v>64.166666666666671</v>
      </c>
      <c r="AA9" s="7"/>
      <c r="AB9" s="3">
        <f t="shared" ref="AB9" ca="1" si="26">AVERAGE(AB3:AB8)</f>
        <v>76.055555555555557</v>
      </c>
      <c r="AC9" s="3">
        <f t="shared" ref="AC9" ca="1" si="27">AVERAGE(AC3:AC8)</f>
        <v>75.222222222222214</v>
      </c>
      <c r="AD9" s="3">
        <f t="shared" ref="AD9" ca="1" si="28">AVERAGE(AD3:AD8)</f>
        <v>62.388888888888893</v>
      </c>
    </row>
    <row r="10" spans="1:30" x14ac:dyDescent="0.3">
      <c r="A10" s="10"/>
      <c r="B10" s="10"/>
      <c r="C10" t="s">
        <v>26</v>
      </c>
      <c r="D10">
        <v>3</v>
      </c>
      <c r="E10">
        <v>2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N10" s="4">
        <f t="shared" ref="N10:N73" si="29">AVERAGE(D10,G10,J10)</f>
        <v>3</v>
      </c>
      <c r="O10" s="4">
        <f t="shared" ref="O10:O73" si="30">AVERAGE(E10,H10,K10)</f>
        <v>2.6666666666666665</v>
      </c>
      <c r="P10" s="4">
        <f t="shared" ref="P10:P73" si="31">AVERAGE(F10,I10,L10)</f>
        <v>3</v>
      </c>
      <c r="Q10" s="1"/>
      <c r="AB10" s="9"/>
      <c r="AC10" s="9"/>
      <c r="AD10" s="9"/>
    </row>
    <row r="11" spans="1:30" x14ac:dyDescent="0.3">
      <c r="A11" s="10"/>
      <c r="B11" s="10"/>
      <c r="C11" t="s">
        <v>27</v>
      </c>
      <c r="D11">
        <v>3</v>
      </c>
      <c r="E11">
        <v>3</v>
      </c>
      <c r="F11">
        <v>3</v>
      </c>
      <c r="G11">
        <v>3</v>
      </c>
      <c r="H11">
        <v>2</v>
      </c>
      <c r="I11">
        <v>3</v>
      </c>
      <c r="J11">
        <v>3</v>
      </c>
      <c r="K11">
        <v>3</v>
      </c>
      <c r="L11">
        <v>3</v>
      </c>
      <c r="N11" s="4">
        <f t="shared" si="29"/>
        <v>3</v>
      </c>
      <c r="O11" s="4">
        <f t="shared" si="30"/>
        <v>2.6666666666666665</v>
      </c>
      <c r="P11" s="4">
        <f t="shared" si="31"/>
        <v>3</v>
      </c>
    </row>
    <row r="12" spans="1:30" x14ac:dyDescent="0.3">
      <c r="A12" s="10"/>
      <c r="B12" s="10"/>
      <c r="C12" t="s">
        <v>28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2</v>
      </c>
      <c r="N12" s="4">
        <f t="shared" si="29"/>
        <v>3</v>
      </c>
      <c r="O12" s="4">
        <f t="shared" si="30"/>
        <v>3</v>
      </c>
      <c r="P12" s="4">
        <f t="shared" si="31"/>
        <v>2.6666666666666665</v>
      </c>
    </row>
    <row r="13" spans="1:30" x14ac:dyDescent="0.3">
      <c r="A13" s="10"/>
      <c r="B13" s="10"/>
      <c r="C13" t="s">
        <v>30</v>
      </c>
      <c r="D13">
        <v>3</v>
      </c>
      <c r="E13">
        <v>3</v>
      </c>
      <c r="F13">
        <v>1</v>
      </c>
      <c r="G13">
        <v>3</v>
      </c>
      <c r="H13">
        <v>3</v>
      </c>
      <c r="I13">
        <v>0</v>
      </c>
      <c r="J13">
        <v>3</v>
      </c>
      <c r="K13">
        <v>3</v>
      </c>
      <c r="L13">
        <v>1</v>
      </c>
      <c r="N13" s="4">
        <f t="shared" si="29"/>
        <v>3</v>
      </c>
      <c r="O13" s="4">
        <f t="shared" si="30"/>
        <v>3</v>
      </c>
      <c r="P13" s="4">
        <f t="shared" si="31"/>
        <v>0.66666666666666663</v>
      </c>
    </row>
    <row r="14" spans="1:30" x14ac:dyDescent="0.3">
      <c r="A14" s="10"/>
      <c r="B14" s="10"/>
      <c r="C14" t="s">
        <v>31</v>
      </c>
      <c r="D14">
        <v>2</v>
      </c>
      <c r="E14">
        <v>1</v>
      </c>
      <c r="F14">
        <v>2</v>
      </c>
      <c r="G14">
        <v>3</v>
      </c>
      <c r="H14">
        <v>3</v>
      </c>
      <c r="I14">
        <v>2</v>
      </c>
      <c r="J14">
        <v>2</v>
      </c>
      <c r="K14">
        <v>2</v>
      </c>
      <c r="L14">
        <v>2</v>
      </c>
      <c r="N14" s="4">
        <f t="shared" si="29"/>
        <v>2.3333333333333335</v>
      </c>
      <c r="O14" s="4">
        <f t="shared" si="30"/>
        <v>2</v>
      </c>
      <c r="P14" s="4">
        <f t="shared" si="31"/>
        <v>2</v>
      </c>
    </row>
    <row r="15" spans="1:30" x14ac:dyDescent="0.3">
      <c r="A15" s="10"/>
      <c r="B15" s="10"/>
      <c r="C15" t="s">
        <v>32</v>
      </c>
      <c r="D15">
        <v>3</v>
      </c>
      <c r="E15">
        <v>1</v>
      </c>
      <c r="F15">
        <v>3</v>
      </c>
      <c r="G15">
        <v>3</v>
      </c>
      <c r="H15">
        <v>3</v>
      </c>
      <c r="I15">
        <v>3</v>
      </c>
      <c r="J15">
        <v>2</v>
      </c>
      <c r="K15">
        <v>2</v>
      </c>
      <c r="L15">
        <v>2</v>
      </c>
      <c r="N15" s="4">
        <f t="shared" si="29"/>
        <v>2.6666666666666665</v>
      </c>
      <c r="O15" s="4">
        <f t="shared" si="30"/>
        <v>2</v>
      </c>
      <c r="P15" s="4">
        <f t="shared" si="31"/>
        <v>2.6666666666666665</v>
      </c>
    </row>
    <row r="16" spans="1:30" x14ac:dyDescent="0.3">
      <c r="A16" s="10">
        <v>3</v>
      </c>
      <c r="B16" s="10" t="s">
        <v>35</v>
      </c>
      <c r="C16" s="2" t="s">
        <v>25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 s="4">
        <f t="shared" si="29"/>
        <v>1</v>
      </c>
      <c r="O16" s="4">
        <f t="shared" si="30"/>
        <v>1</v>
      </c>
      <c r="P16" s="4">
        <f t="shared" si="31"/>
        <v>1</v>
      </c>
    </row>
    <row r="17" spans="1:16" x14ac:dyDescent="0.3">
      <c r="A17" s="10"/>
      <c r="B17" s="10"/>
      <c r="C17" t="s">
        <v>26</v>
      </c>
      <c r="D17">
        <v>3</v>
      </c>
      <c r="E17">
        <v>2</v>
      </c>
      <c r="F17">
        <v>3</v>
      </c>
      <c r="G17">
        <v>3</v>
      </c>
      <c r="H17">
        <v>2</v>
      </c>
      <c r="I17">
        <v>1</v>
      </c>
      <c r="J17">
        <v>3</v>
      </c>
      <c r="K17">
        <v>3</v>
      </c>
      <c r="L17">
        <v>3</v>
      </c>
      <c r="N17" s="4">
        <f t="shared" si="29"/>
        <v>3</v>
      </c>
      <c r="O17" s="4">
        <f t="shared" si="30"/>
        <v>2.3333333333333335</v>
      </c>
      <c r="P17" s="4">
        <f t="shared" si="31"/>
        <v>2.3333333333333335</v>
      </c>
    </row>
    <row r="18" spans="1:16" x14ac:dyDescent="0.3">
      <c r="A18" s="10"/>
      <c r="B18" s="10"/>
      <c r="C18" t="s">
        <v>27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N18" s="4">
        <f t="shared" si="29"/>
        <v>3</v>
      </c>
      <c r="O18" s="4">
        <f t="shared" si="30"/>
        <v>3</v>
      </c>
      <c r="P18" s="4">
        <f t="shared" si="31"/>
        <v>3</v>
      </c>
    </row>
    <row r="19" spans="1:16" x14ac:dyDescent="0.3">
      <c r="A19" s="10"/>
      <c r="B19" s="10"/>
      <c r="C19" t="s">
        <v>28</v>
      </c>
      <c r="D19">
        <v>3</v>
      </c>
      <c r="E19">
        <v>3</v>
      </c>
      <c r="F19">
        <v>3</v>
      </c>
      <c r="G19">
        <v>3</v>
      </c>
      <c r="H19">
        <v>3</v>
      </c>
      <c r="I19">
        <v>1</v>
      </c>
      <c r="J19">
        <v>3</v>
      </c>
      <c r="K19">
        <v>3</v>
      </c>
      <c r="L19">
        <v>2</v>
      </c>
      <c r="N19" s="4">
        <f t="shared" si="29"/>
        <v>3</v>
      </c>
      <c r="O19" s="4">
        <f t="shared" si="30"/>
        <v>3</v>
      </c>
      <c r="P19" s="4">
        <f t="shared" si="31"/>
        <v>2</v>
      </c>
    </row>
    <row r="20" spans="1:16" x14ac:dyDescent="0.3">
      <c r="A20" s="10"/>
      <c r="B20" s="10"/>
      <c r="C20" t="s">
        <v>30</v>
      </c>
      <c r="D20">
        <v>3</v>
      </c>
      <c r="E20">
        <v>3</v>
      </c>
      <c r="F20">
        <v>1</v>
      </c>
      <c r="G20">
        <v>2</v>
      </c>
      <c r="H20">
        <v>3</v>
      </c>
      <c r="I20">
        <v>0</v>
      </c>
      <c r="J20">
        <v>2</v>
      </c>
      <c r="K20">
        <v>3</v>
      </c>
      <c r="L20">
        <v>0</v>
      </c>
      <c r="N20" s="4">
        <f t="shared" si="29"/>
        <v>2.3333333333333335</v>
      </c>
      <c r="O20" s="4">
        <f t="shared" si="30"/>
        <v>3</v>
      </c>
      <c r="P20" s="4">
        <f t="shared" si="31"/>
        <v>0.33333333333333331</v>
      </c>
    </row>
    <row r="21" spans="1:16" x14ac:dyDescent="0.3">
      <c r="A21" s="10"/>
      <c r="B21" s="10"/>
      <c r="C21" t="s">
        <v>31</v>
      </c>
      <c r="D21">
        <v>3</v>
      </c>
      <c r="E21">
        <v>2</v>
      </c>
      <c r="F21">
        <v>1</v>
      </c>
      <c r="G21">
        <v>3</v>
      </c>
      <c r="H21">
        <v>3</v>
      </c>
      <c r="I21">
        <v>1</v>
      </c>
      <c r="J21">
        <v>2</v>
      </c>
      <c r="K21">
        <v>2</v>
      </c>
      <c r="L21">
        <v>1</v>
      </c>
      <c r="N21" s="4">
        <f t="shared" si="29"/>
        <v>2.6666666666666665</v>
      </c>
      <c r="O21" s="4">
        <f t="shared" si="30"/>
        <v>2.3333333333333335</v>
      </c>
      <c r="P21" s="4">
        <f t="shared" si="31"/>
        <v>1</v>
      </c>
    </row>
    <row r="22" spans="1:16" x14ac:dyDescent="0.3">
      <c r="A22" s="10"/>
      <c r="B22" s="10"/>
      <c r="C22" t="s">
        <v>32</v>
      </c>
      <c r="D22">
        <v>3</v>
      </c>
      <c r="E22">
        <v>3</v>
      </c>
      <c r="F22">
        <v>2</v>
      </c>
      <c r="G22">
        <v>3</v>
      </c>
      <c r="H22">
        <v>3</v>
      </c>
      <c r="I22">
        <v>0</v>
      </c>
      <c r="J22">
        <v>3</v>
      </c>
      <c r="K22">
        <v>3</v>
      </c>
      <c r="L22">
        <v>1</v>
      </c>
      <c r="N22" s="4">
        <f t="shared" si="29"/>
        <v>3</v>
      </c>
      <c r="O22" s="4">
        <f t="shared" si="30"/>
        <v>3</v>
      </c>
      <c r="P22" s="4">
        <f t="shared" si="31"/>
        <v>1</v>
      </c>
    </row>
    <row r="23" spans="1:16" x14ac:dyDescent="0.3">
      <c r="A23" s="10">
        <v>4</v>
      </c>
      <c r="B23" s="10" t="s">
        <v>4</v>
      </c>
      <c r="C23" s="2" t="s">
        <v>25</v>
      </c>
      <c r="D23">
        <v>3</v>
      </c>
      <c r="E23">
        <v>3</v>
      </c>
      <c r="F23">
        <v>3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N23" s="4">
        <f t="shared" si="29"/>
        <v>1.6666666666666667</v>
      </c>
      <c r="O23" s="4">
        <f t="shared" si="30"/>
        <v>1.6666666666666667</v>
      </c>
      <c r="P23" s="4">
        <f t="shared" si="31"/>
        <v>1.6666666666666667</v>
      </c>
    </row>
    <row r="24" spans="1:16" x14ac:dyDescent="0.3">
      <c r="A24" s="10"/>
      <c r="B24" s="10"/>
      <c r="C24" t="s">
        <v>26</v>
      </c>
      <c r="D24">
        <v>3</v>
      </c>
      <c r="E24">
        <v>3</v>
      </c>
      <c r="F24">
        <v>3</v>
      </c>
      <c r="G24">
        <v>1</v>
      </c>
      <c r="H24">
        <v>2</v>
      </c>
      <c r="I24">
        <v>2</v>
      </c>
      <c r="J24">
        <v>3</v>
      </c>
      <c r="K24">
        <v>3</v>
      </c>
      <c r="L24">
        <v>3</v>
      </c>
      <c r="N24" s="4">
        <f t="shared" si="29"/>
        <v>2.3333333333333335</v>
      </c>
      <c r="O24" s="4">
        <f t="shared" si="30"/>
        <v>2.6666666666666665</v>
      </c>
      <c r="P24" s="4">
        <f t="shared" si="31"/>
        <v>2.6666666666666665</v>
      </c>
    </row>
    <row r="25" spans="1:16" x14ac:dyDescent="0.3">
      <c r="A25" s="10"/>
      <c r="B25" s="10"/>
      <c r="C25" t="s">
        <v>27</v>
      </c>
      <c r="D25">
        <v>3</v>
      </c>
      <c r="E25">
        <v>3</v>
      </c>
      <c r="F25">
        <v>3</v>
      </c>
      <c r="G25">
        <v>3</v>
      </c>
      <c r="H25">
        <v>3</v>
      </c>
      <c r="I25">
        <v>1</v>
      </c>
      <c r="J25">
        <v>3</v>
      </c>
      <c r="K25">
        <v>3</v>
      </c>
      <c r="L25">
        <v>1</v>
      </c>
      <c r="N25" s="4">
        <f t="shared" si="29"/>
        <v>3</v>
      </c>
      <c r="O25" s="4">
        <f t="shared" si="30"/>
        <v>3</v>
      </c>
      <c r="P25" s="4">
        <f t="shared" si="31"/>
        <v>1.6666666666666667</v>
      </c>
    </row>
    <row r="26" spans="1:16" x14ac:dyDescent="0.3">
      <c r="A26" s="10"/>
      <c r="B26" s="10"/>
      <c r="C26" t="s">
        <v>28</v>
      </c>
      <c r="D26">
        <v>3</v>
      </c>
      <c r="E26">
        <v>3</v>
      </c>
      <c r="F26">
        <v>2</v>
      </c>
      <c r="G26">
        <v>3</v>
      </c>
      <c r="H26">
        <v>3</v>
      </c>
      <c r="I26">
        <v>3</v>
      </c>
      <c r="J26">
        <v>3</v>
      </c>
      <c r="K26">
        <v>3</v>
      </c>
      <c r="L26">
        <v>2</v>
      </c>
      <c r="N26" s="4">
        <f t="shared" si="29"/>
        <v>3</v>
      </c>
      <c r="O26" s="4">
        <f t="shared" si="30"/>
        <v>3</v>
      </c>
      <c r="P26" s="4">
        <f t="shared" si="31"/>
        <v>2.3333333333333335</v>
      </c>
    </row>
    <row r="27" spans="1:16" x14ac:dyDescent="0.3">
      <c r="A27" s="10"/>
      <c r="B27" s="10"/>
      <c r="C27" t="s">
        <v>30</v>
      </c>
      <c r="D27">
        <v>3</v>
      </c>
      <c r="E27">
        <v>2</v>
      </c>
      <c r="F27">
        <v>1</v>
      </c>
      <c r="G27">
        <v>3</v>
      </c>
      <c r="H27">
        <v>3</v>
      </c>
      <c r="I27">
        <v>0</v>
      </c>
      <c r="J27">
        <v>2</v>
      </c>
      <c r="K27">
        <v>3</v>
      </c>
      <c r="L27">
        <v>1</v>
      </c>
      <c r="N27" s="4">
        <f t="shared" si="29"/>
        <v>2.6666666666666665</v>
      </c>
      <c r="O27" s="4">
        <f t="shared" si="30"/>
        <v>2.6666666666666665</v>
      </c>
      <c r="P27" s="4">
        <f t="shared" si="31"/>
        <v>0.66666666666666663</v>
      </c>
    </row>
    <row r="28" spans="1:16" x14ac:dyDescent="0.3">
      <c r="A28" s="10"/>
      <c r="B28" s="10"/>
      <c r="C28" t="s">
        <v>31</v>
      </c>
      <c r="D28">
        <v>3</v>
      </c>
      <c r="E28">
        <v>2</v>
      </c>
      <c r="F28">
        <v>3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N28" s="4">
        <f t="shared" si="29"/>
        <v>2.3333333333333335</v>
      </c>
      <c r="O28" s="4">
        <f t="shared" si="30"/>
        <v>2</v>
      </c>
      <c r="P28" s="4">
        <f t="shared" si="31"/>
        <v>2.3333333333333335</v>
      </c>
    </row>
    <row r="29" spans="1:16" x14ac:dyDescent="0.3">
      <c r="A29" s="10"/>
      <c r="B29" s="10"/>
      <c r="C29" t="s">
        <v>32</v>
      </c>
      <c r="D29">
        <v>3</v>
      </c>
      <c r="E29">
        <v>2</v>
      </c>
      <c r="F29">
        <v>2</v>
      </c>
      <c r="G29">
        <v>3</v>
      </c>
      <c r="H29">
        <v>3</v>
      </c>
      <c r="I29">
        <v>1</v>
      </c>
      <c r="J29">
        <v>2</v>
      </c>
      <c r="K29">
        <v>3</v>
      </c>
      <c r="L29">
        <v>2</v>
      </c>
      <c r="N29" s="4">
        <f t="shared" si="29"/>
        <v>2.6666666666666665</v>
      </c>
      <c r="O29" s="4">
        <f t="shared" si="30"/>
        <v>2.6666666666666665</v>
      </c>
      <c r="P29" s="4">
        <f t="shared" si="31"/>
        <v>1.6666666666666667</v>
      </c>
    </row>
    <row r="30" spans="1:16" x14ac:dyDescent="0.3">
      <c r="A30" s="10">
        <v>5</v>
      </c>
      <c r="B30" s="10" t="s">
        <v>36</v>
      </c>
      <c r="C30" s="2" t="s">
        <v>25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N30" s="4">
        <f t="shared" si="29"/>
        <v>2</v>
      </c>
      <c r="O30" s="4">
        <f t="shared" si="30"/>
        <v>2</v>
      </c>
      <c r="P30" s="4">
        <f t="shared" si="31"/>
        <v>2</v>
      </c>
    </row>
    <row r="31" spans="1:16" x14ac:dyDescent="0.3">
      <c r="A31" s="10"/>
      <c r="B31" s="10"/>
      <c r="C31" t="s">
        <v>26</v>
      </c>
      <c r="D31">
        <v>3</v>
      </c>
      <c r="E31">
        <v>3</v>
      </c>
      <c r="F31">
        <v>1</v>
      </c>
      <c r="G31">
        <v>3</v>
      </c>
      <c r="H31">
        <v>2</v>
      </c>
      <c r="I31">
        <v>1</v>
      </c>
      <c r="J31">
        <v>3</v>
      </c>
      <c r="K31">
        <v>3</v>
      </c>
      <c r="L31">
        <v>1</v>
      </c>
      <c r="N31" s="4">
        <f t="shared" si="29"/>
        <v>3</v>
      </c>
      <c r="O31" s="4">
        <f t="shared" si="30"/>
        <v>2.6666666666666665</v>
      </c>
      <c r="P31" s="4">
        <f t="shared" si="31"/>
        <v>1</v>
      </c>
    </row>
    <row r="32" spans="1:16" x14ac:dyDescent="0.3">
      <c r="A32" s="10"/>
      <c r="B32" s="10"/>
      <c r="C32" t="s">
        <v>27</v>
      </c>
      <c r="D32">
        <v>3</v>
      </c>
      <c r="E32">
        <v>3</v>
      </c>
      <c r="F32">
        <v>1</v>
      </c>
      <c r="G32">
        <v>2</v>
      </c>
      <c r="H32">
        <v>3</v>
      </c>
      <c r="I32">
        <v>1</v>
      </c>
      <c r="J32">
        <v>2</v>
      </c>
      <c r="K32">
        <v>3</v>
      </c>
      <c r="L32">
        <v>1</v>
      </c>
      <c r="N32" s="4">
        <f t="shared" si="29"/>
        <v>2.3333333333333335</v>
      </c>
      <c r="O32" s="4">
        <f t="shared" si="30"/>
        <v>3</v>
      </c>
      <c r="P32" s="4">
        <f t="shared" si="31"/>
        <v>1</v>
      </c>
    </row>
    <row r="33" spans="1:16" x14ac:dyDescent="0.3">
      <c r="A33" s="10"/>
      <c r="B33" s="10"/>
      <c r="C33" t="s">
        <v>28</v>
      </c>
      <c r="D33">
        <v>3</v>
      </c>
      <c r="E33">
        <v>2</v>
      </c>
      <c r="F33">
        <v>1</v>
      </c>
      <c r="G33">
        <v>3</v>
      </c>
      <c r="H33">
        <v>3</v>
      </c>
      <c r="I33">
        <v>1</v>
      </c>
      <c r="J33">
        <v>3</v>
      </c>
      <c r="K33">
        <v>3</v>
      </c>
      <c r="L33">
        <v>1</v>
      </c>
      <c r="N33" s="4">
        <f t="shared" si="29"/>
        <v>3</v>
      </c>
      <c r="O33" s="4">
        <f t="shared" si="30"/>
        <v>2.6666666666666665</v>
      </c>
      <c r="P33" s="4">
        <f t="shared" si="31"/>
        <v>1</v>
      </c>
    </row>
    <row r="34" spans="1:16" x14ac:dyDescent="0.3">
      <c r="A34" s="10"/>
      <c r="B34" s="10"/>
      <c r="C34" t="s">
        <v>30</v>
      </c>
      <c r="D34">
        <v>3</v>
      </c>
      <c r="E34">
        <v>3</v>
      </c>
      <c r="F34">
        <v>1</v>
      </c>
      <c r="G34">
        <v>3</v>
      </c>
      <c r="H34">
        <v>2</v>
      </c>
      <c r="I34">
        <v>0</v>
      </c>
      <c r="J34">
        <v>2</v>
      </c>
      <c r="K34">
        <v>2</v>
      </c>
      <c r="L34">
        <v>0</v>
      </c>
      <c r="N34" s="4">
        <f t="shared" si="29"/>
        <v>2.6666666666666665</v>
      </c>
      <c r="O34" s="4">
        <f t="shared" si="30"/>
        <v>2.3333333333333335</v>
      </c>
      <c r="P34" s="4">
        <f t="shared" si="31"/>
        <v>0.33333333333333331</v>
      </c>
    </row>
    <row r="35" spans="1:16" x14ac:dyDescent="0.3">
      <c r="A35" s="10"/>
      <c r="B35" s="10"/>
      <c r="C35" t="s">
        <v>31</v>
      </c>
      <c r="D35">
        <v>3</v>
      </c>
      <c r="E35">
        <v>2</v>
      </c>
      <c r="F35">
        <v>1</v>
      </c>
      <c r="G35">
        <v>3</v>
      </c>
      <c r="H35">
        <v>2</v>
      </c>
      <c r="I35">
        <v>1</v>
      </c>
      <c r="J35">
        <v>3</v>
      </c>
      <c r="K35">
        <v>2</v>
      </c>
      <c r="L35">
        <v>1</v>
      </c>
      <c r="N35" s="4">
        <f t="shared" si="29"/>
        <v>3</v>
      </c>
      <c r="O35" s="4">
        <f t="shared" si="30"/>
        <v>2</v>
      </c>
      <c r="P35" s="4">
        <f t="shared" si="31"/>
        <v>1</v>
      </c>
    </row>
    <row r="36" spans="1:16" x14ac:dyDescent="0.3">
      <c r="A36" s="10"/>
      <c r="B36" s="10"/>
      <c r="C36" t="s">
        <v>32</v>
      </c>
      <c r="D36">
        <v>3</v>
      </c>
      <c r="E36">
        <v>2</v>
      </c>
      <c r="F36">
        <v>0</v>
      </c>
      <c r="G36">
        <v>3</v>
      </c>
      <c r="H36">
        <v>2</v>
      </c>
      <c r="I36">
        <v>1</v>
      </c>
      <c r="J36">
        <v>3</v>
      </c>
      <c r="K36">
        <v>2</v>
      </c>
      <c r="L36">
        <v>1</v>
      </c>
      <c r="N36" s="4">
        <f t="shared" si="29"/>
        <v>3</v>
      </c>
      <c r="O36" s="4">
        <f t="shared" si="30"/>
        <v>2</v>
      </c>
      <c r="P36" s="4">
        <f t="shared" si="31"/>
        <v>0.66666666666666663</v>
      </c>
    </row>
    <row r="37" spans="1:16" x14ac:dyDescent="0.3">
      <c r="A37" s="10">
        <v>6</v>
      </c>
      <c r="B37" s="10" t="s">
        <v>7</v>
      </c>
      <c r="C37" s="2" t="s">
        <v>25</v>
      </c>
      <c r="D37">
        <v>3</v>
      </c>
      <c r="E37">
        <v>3</v>
      </c>
      <c r="F37">
        <v>3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N37" s="4">
        <f t="shared" si="29"/>
        <v>2.3333333333333335</v>
      </c>
      <c r="O37" s="4">
        <f t="shared" si="30"/>
        <v>2.3333333333333335</v>
      </c>
      <c r="P37" s="4">
        <f t="shared" si="31"/>
        <v>2.3333333333333335</v>
      </c>
    </row>
    <row r="38" spans="1:16" x14ac:dyDescent="0.3">
      <c r="A38" s="10"/>
      <c r="B38" s="10"/>
      <c r="C38" t="s">
        <v>26</v>
      </c>
      <c r="D38">
        <v>3</v>
      </c>
      <c r="E38">
        <v>2</v>
      </c>
      <c r="F38">
        <v>3</v>
      </c>
      <c r="G38">
        <v>3</v>
      </c>
      <c r="H38">
        <v>1</v>
      </c>
      <c r="I38">
        <v>1</v>
      </c>
      <c r="J38">
        <v>3</v>
      </c>
      <c r="K38">
        <v>2</v>
      </c>
      <c r="L38">
        <v>3</v>
      </c>
      <c r="N38" s="4">
        <f t="shared" si="29"/>
        <v>3</v>
      </c>
      <c r="O38" s="4">
        <f t="shared" si="30"/>
        <v>1.6666666666666667</v>
      </c>
      <c r="P38" s="4">
        <f t="shared" si="31"/>
        <v>2.3333333333333335</v>
      </c>
    </row>
    <row r="39" spans="1:16" x14ac:dyDescent="0.3">
      <c r="A39" s="10"/>
      <c r="B39" s="10"/>
      <c r="C39" t="s">
        <v>27</v>
      </c>
      <c r="D39">
        <v>3</v>
      </c>
      <c r="E39">
        <v>1</v>
      </c>
      <c r="F39">
        <v>1</v>
      </c>
      <c r="G39">
        <v>1</v>
      </c>
      <c r="H39">
        <v>3</v>
      </c>
      <c r="I39">
        <v>1</v>
      </c>
      <c r="J39">
        <v>1</v>
      </c>
      <c r="K39">
        <v>3</v>
      </c>
      <c r="L39">
        <v>1</v>
      </c>
      <c r="N39" s="4">
        <f t="shared" si="29"/>
        <v>1.6666666666666667</v>
      </c>
      <c r="O39" s="4">
        <f t="shared" si="30"/>
        <v>2.3333333333333335</v>
      </c>
      <c r="P39" s="4">
        <f t="shared" si="31"/>
        <v>1</v>
      </c>
    </row>
    <row r="40" spans="1:16" x14ac:dyDescent="0.3">
      <c r="A40" s="10"/>
      <c r="B40" s="10"/>
      <c r="C40" t="s">
        <v>28</v>
      </c>
      <c r="D40">
        <v>3</v>
      </c>
      <c r="E40">
        <v>3</v>
      </c>
      <c r="F40">
        <v>0</v>
      </c>
      <c r="G40">
        <v>3</v>
      </c>
      <c r="H40">
        <v>3</v>
      </c>
      <c r="I40">
        <v>3</v>
      </c>
      <c r="J40">
        <v>2</v>
      </c>
      <c r="K40">
        <v>3</v>
      </c>
      <c r="L40">
        <v>1</v>
      </c>
      <c r="N40" s="4">
        <f t="shared" si="29"/>
        <v>2.6666666666666665</v>
      </c>
      <c r="O40" s="4">
        <f t="shared" si="30"/>
        <v>3</v>
      </c>
      <c r="P40" s="4">
        <f t="shared" si="31"/>
        <v>1.3333333333333333</v>
      </c>
    </row>
    <row r="41" spans="1:16" x14ac:dyDescent="0.3">
      <c r="A41" s="10"/>
      <c r="B41" s="10"/>
      <c r="C41" t="s">
        <v>30</v>
      </c>
      <c r="D41">
        <v>3</v>
      </c>
      <c r="E41">
        <v>3</v>
      </c>
      <c r="F41">
        <v>1</v>
      </c>
      <c r="G41">
        <v>2</v>
      </c>
      <c r="H41">
        <v>3</v>
      </c>
      <c r="I41">
        <v>0</v>
      </c>
      <c r="J41">
        <v>1</v>
      </c>
      <c r="K41">
        <v>2</v>
      </c>
      <c r="L41">
        <v>1</v>
      </c>
      <c r="N41" s="4">
        <f t="shared" si="29"/>
        <v>2</v>
      </c>
      <c r="O41" s="4">
        <f t="shared" si="30"/>
        <v>2.6666666666666665</v>
      </c>
      <c r="P41" s="4">
        <f t="shared" si="31"/>
        <v>0.66666666666666663</v>
      </c>
    </row>
    <row r="42" spans="1:16" x14ac:dyDescent="0.3">
      <c r="A42" s="10"/>
      <c r="B42" s="10"/>
      <c r="C42" t="s">
        <v>31</v>
      </c>
      <c r="D42">
        <v>3</v>
      </c>
      <c r="E42">
        <v>2</v>
      </c>
      <c r="F42">
        <v>2</v>
      </c>
      <c r="G42">
        <v>3</v>
      </c>
      <c r="H42">
        <v>1</v>
      </c>
      <c r="I42">
        <v>1</v>
      </c>
      <c r="J42">
        <v>1</v>
      </c>
      <c r="K42">
        <v>2</v>
      </c>
      <c r="L42">
        <v>2</v>
      </c>
      <c r="N42" s="4">
        <f t="shared" si="29"/>
        <v>2.3333333333333335</v>
      </c>
      <c r="O42" s="4">
        <f t="shared" si="30"/>
        <v>1.6666666666666667</v>
      </c>
      <c r="P42" s="4">
        <f t="shared" si="31"/>
        <v>1.6666666666666667</v>
      </c>
    </row>
    <row r="43" spans="1:16" x14ac:dyDescent="0.3">
      <c r="A43" s="10"/>
      <c r="B43" s="10"/>
      <c r="C43" t="s">
        <v>32</v>
      </c>
      <c r="D43">
        <v>3</v>
      </c>
      <c r="E43">
        <v>1</v>
      </c>
      <c r="F43">
        <v>1</v>
      </c>
      <c r="G43">
        <v>2</v>
      </c>
      <c r="H43">
        <v>2</v>
      </c>
      <c r="I43">
        <v>1</v>
      </c>
      <c r="J43">
        <v>1</v>
      </c>
      <c r="K43">
        <v>2</v>
      </c>
      <c r="L43">
        <v>1</v>
      </c>
      <c r="N43" s="4">
        <f t="shared" si="29"/>
        <v>2</v>
      </c>
      <c r="O43" s="4">
        <f t="shared" si="30"/>
        <v>1.6666666666666667</v>
      </c>
      <c r="P43" s="4">
        <f t="shared" si="31"/>
        <v>1</v>
      </c>
    </row>
    <row r="44" spans="1:16" x14ac:dyDescent="0.3">
      <c r="A44" s="10">
        <v>7</v>
      </c>
      <c r="B44" s="10" t="s">
        <v>9</v>
      </c>
      <c r="C44" s="2" t="s">
        <v>25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N44" s="4">
        <f t="shared" si="29"/>
        <v>2</v>
      </c>
      <c r="O44" s="4">
        <f t="shared" si="30"/>
        <v>2</v>
      </c>
      <c r="P44" s="4">
        <f t="shared" si="31"/>
        <v>2</v>
      </c>
    </row>
    <row r="45" spans="1:16" x14ac:dyDescent="0.3">
      <c r="A45" s="10"/>
      <c r="B45" s="10"/>
      <c r="C45" t="s">
        <v>26</v>
      </c>
      <c r="D45">
        <v>3</v>
      </c>
      <c r="E45">
        <v>3</v>
      </c>
      <c r="F45">
        <v>3</v>
      </c>
      <c r="G45">
        <v>3</v>
      </c>
      <c r="H45">
        <v>2</v>
      </c>
      <c r="I45">
        <v>3</v>
      </c>
      <c r="J45">
        <v>3</v>
      </c>
      <c r="K45">
        <v>3</v>
      </c>
      <c r="L45">
        <v>3</v>
      </c>
      <c r="N45" s="4">
        <f t="shared" si="29"/>
        <v>3</v>
      </c>
      <c r="O45" s="4">
        <f t="shared" si="30"/>
        <v>2.6666666666666665</v>
      </c>
      <c r="P45" s="4">
        <f t="shared" si="31"/>
        <v>3</v>
      </c>
    </row>
    <row r="46" spans="1:16" x14ac:dyDescent="0.3">
      <c r="A46" s="10"/>
      <c r="B46" s="10"/>
      <c r="C46" t="s">
        <v>27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N46" s="4">
        <f t="shared" si="29"/>
        <v>3</v>
      </c>
      <c r="O46" s="4">
        <f t="shared" si="30"/>
        <v>3</v>
      </c>
      <c r="P46" s="4">
        <f t="shared" si="31"/>
        <v>3</v>
      </c>
    </row>
    <row r="47" spans="1:16" x14ac:dyDescent="0.3">
      <c r="A47" s="10"/>
      <c r="B47" s="10"/>
      <c r="C47" t="s">
        <v>28</v>
      </c>
      <c r="D47">
        <v>3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3</v>
      </c>
      <c r="L47">
        <v>3</v>
      </c>
      <c r="N47" s="4">
        <f t="shared" si="29"/>
        <v>3</v>
      </c>
      <c r="O47" s="4">
        <f t="shared" si="30"/>
        <v>2.6666666666666665</v>
      </c>
      <c r="P47" s="4">
        <f t="shared" si="31"/>
        <v>3</v>
      </c>
    </row>
    <row r="48" spans="1:16" x14ac:dyDescent="0.3">
      <c r="A48" s="10"/>
      <c r="B48" s="10"/>
      <c r="C48" t="s">
        <v>30</v>
      </c>
      <c r="D48">
        <v>2</v>
      </c>
      <c r="E48">
        <v>2</v>
      </c>
      <c r="F48">
        <v>1</v>
      </c>
      <c r="G48">
        <v>2</v>
      </c>
      <c r="H48">
        <v>1</v>
      </c>
      <c r="I48">
        <v>0</v>
      </c>
      <c r="J48">
        <v>2</v>
      </c>
      <c r="K48">
        <v>1</v>
      </c>
      <c r="L48">
        <v>1</v>
      </c>
      <c r="N48" s="4">
        <f t="shared" si="29"/>
        <v>2</v>
      </c>
      <c r="O48" s="4">
        <f t="shared" si="30"/>
        <v>1.3333333333333333</v>
      </c>
      <c r="P48" s="4">
        <f t="shared" si="31"/>
        <v>0.66666666666666663</v>
      </c>
    </row>
    <row r="49" spans="1:16" x14ac:dyDescent="0.3">
      <c r="A49" s="10"/>
      <c r="B49" s="10"/>
      <c r="C49" t="s">
        <v>31</v>
      </c>
      <c r="D49">
        <v>2</v>
      </c>
      <c r="E49">
        <v>1</v>
      </c>
      <c r="F49">
        <v>3</v>
      </c>
      <c r="G49">
        <v>3</v>
      </c>
      <c r="H49">
        <v>2</v>
      </c>
      <c r="I49">
        <v>2</v>
      </c>
      <c r="J49">
        <v>3</v>
      </c>
      <c r="K49">
        <v>2</v>
      </c>
      <c r="L49">
        <v>3</v>
      </c>
      <c r="N49" s="4">
        <f t="shared" si="29"/>
        <v>2.6666666666666665</v>
      </c>
      <c r="O49" s="4">
        <f t="shared" si="30"/>
        <v>1.6666666666666667</v>
      </c>
      <c r="P49" s="4">
        <f t="shared" si="31"/>
        <v>2.6666666666666665</v>
      </c>
    </row>
    <row r="50" spans="1:16" x14ac:dyDescent="0.3">
      <c r="A50" s="10"/>
      <c r="B50" s="10"/>
      <c r="C50" t="s">
        <v>32</v>
      </c>
      <c r="D50">
        <v>3</v>
      </c>
      <c r="E50">
        <v>1</v>
      </c>
      <c r="F50">
        <v>3</v>
      </c>
      <c r="G50">
        <v>2</v>
      </c>
      <c r="H50">
        <v>1</v>
      </c>
      <c r="I50">
        <v>2</v>
      </c>
      <c r="J50">
        <v>3</v>
      </c>
      <c r="K50">
        <v>2</v>
      </c>
      <c r="L50">
        <v>3</v>
      </c>
      <c r="N50" s="4">
        <f t="shared" si="29"/>
        <v>2.6666666666666665</v>
      </c>
      <c r="O50" s="4">
        <f t="shared" si="30"/>
        <v>1.3333333333333333</v>
      </c>
      <c r="P50" s="4">
        <f t="shared" si="31"/>
        <v>2.6666666666666665</v>
      </c>
    </row>
    <row r="51" spans="1:16" x14ac:dyDescent="0.3">
      <c r="A51" s="10">
        <v>8</v>
      </c>
      <c r="B51" s="10" t="s">
        <v>11</v>
      </c>
      <c r="C51" s="2" t="s">
        <v>25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N51" s="4">
        <f t="shared" si="29"/>
        <v>3</v>
      </c>
      <c r="O51" s="4">
        <f t="shared" si="30"/>
        <v>3</v>
      </c>
      <c r="P51" s="4">
        <f t="shared" si="31"/>
        <v>3</v>
      </c>
    </row>
    <row r="52" spans="1:16" x14ac:dyDescent="0.3">
      <c r="A52" s="10"/>
      <c r="B52" s="10"/>
      <c r="C52" t="s">
        <v>26</v>
      </c>
      <c r="D52">
        <v>3</v>
      </c>
      <c r="E52">
        <v>3</v>
      </c>
      <c r="F52">
        <v>3</v>
      </c>
      <c r="G52">
        <v>3</v>
      </c>
      <c r="H52">
        <v>2</v>
      </c>
      <c r="I52">
        <v>3</v>
      </c>
      <c r="J52">
        <v>3</v>
      </c>
      <c r="K52">
        <v>3</v>
      </c>
      <c r="L52">
        <v>3</v>
      </c>
      <c r="N52" s="4">
        <f t="shared" si="29"/>
        <v>3</v>
      </c>
      <c r="O52" s="4">
        <f t="shared" si="30"/>
        <v>2.6666666666666665</v>
      </c>
      <c r="P52" s="4">
        <f t="shared" si="31"/>
        <v>3</v>
      </c>
    </row>
    <row r="53" spans="1:16" x14ac:dyDescent="0.3">
      <c r="A53" s="10"/>
      <c r="B53" s="10"/>
      <c r="C53" t="s">
        <v>27</v>
      </c>
      <c r="D53">
        <v>3</v>
      </c>
      <c r="E53">
        <v>3</v>
      </c>
      <c r="F53">
        <v>3</v>
      </c>
      <c r="G53">
        <v>2</v>
      </c>
      <c r="H53">
        <v>3</v>
      </c>
      <c r="I53">
        <v>2</v>
      </c>
      <c r="J53">
        <v>3</v>
      </c>
      <c r="K53">
        <v>3</v>
      </c>
      <c r="L53">
        <v>3</v>
      </c>
      <c r="N53" s="4">
        <f t="shared" si="29"/>
        <v>2.6666666666666665</v>
      </c>
      <c r="O53" s="4">
        <f t="shared" si="30"/>
        <v>3</v>
      </c>
      <c r="P53" s="4">
        <f t="shared" si="31"/>
        <v>2.6666666666666665</v>
      </c>
    </row>
    <row r="54" spans="1:16" x14ac:dyDescent="0.3">
      <c r="A54" s="10"/>
      <c r="B54" s="10"/>
      <c r="C54" t="s">
        <v>28</v>
      </c>
      <c r="D54">
        <v>3</v>
      </c>
      <c r="E54">
        <v>3</v>
      </c>
      <c r="F54">
        <v>3</v>
      </c>
      <c r="G54">
        <v>2</v>
      </c>
      <c r="H54">
        <v>3</v>
      </c>
      <c r="I54">
        <v>2</v>
      </c>
      <c r="J54">
        <v>3</v>
      </c>
      <c r="K54">
        <v>3</v>
      </c>
      <c r="L54">
        <v>3</v>
      </c>
      <c r="N54" s="4">
        <f t="shared" si="29"/>
        <v>2.6666666666666665</v>
      </c>
      <c r="O54" s="4">
        <f t="shared" si="30"/>
        <v>3</v>
      </c>
      <c r="P54" s="4">
        <f t="shared" si="31"/>
        <v>2.6666666666666665</v>
      </c>
    </row>
    <row r="55" spans="1:16" x14ac:dyDescent="0.3">
      <c r="A55" s="10"/>
      <c r="B55" s="10"/>
      <c r="C55" t="s">
        <v>30</v>
      </c>
      <c r="D55">
        <v>3</v>
      </c>
      <c r="E55">
        <v>2</v>
      </c>
      <c r="F55">
        <v>1</v>
      </c>
      <c r="G55">
        <v>3</v>
      </c>
      <c r="H55">
        <v>3</v>
      </c>
      <c r="I55">
        <v>0</v>
      </c>
      <c r="J55">
        <v>3</v>
      </c>
      <c r="K55">
        <v>3</v>
      </c>
      <c r="L55">
        <v>1</v>
      </c>
      <c r="N55" s="4">
        <f t="shared" si="29"/>
        <v>3</v>
      </c>
      <c r="O55" s="4">
        <f t="shared" si="30"/>
        <v>2.6666666666666665</v>
      </c>
      <c r="P55" s="4">
        <f t="shared" si="31"/>
        <v>0.66666666666666663</v>
      </c>
    </row>
    <row r="56" spans="1:16" x14ac:dyDescent="0.3">
      <c r="A56" s="10"/>
      <c r="B56" s="10"/>
      <c r="C56" t="s">
        <v>31</v>
      </c>
      <c r="D56">
        <v>2</v>
      </c>
      <c r="E56">
        <v>1</v>
      </c>
      <c r="F56">
        <v>2</v>
      </c>
      <c r="G56">
        <v>3</v>
      </c>
      <c r="H56">
        <v>2</v>
      </c>
      <c r="I56">
        <v>3</v>
      </c>
      <c r="J56">
        <v>2</v>
      </c>
      <c r="K56">
        <v>1</v>
      </c>
      <c r="L56">
        <v>2</v>
      </c>
      <c r="N56" s="4">
        <f t="shared" si="29"/>
        <v>2.3333333333333335</v>
      </c>
      <c r="O56" s="4">
        <f t="shared" si="30"/>
        <v>1.3333333333333333</v>
      </c>
      <c r="P56" s="4">
        <f t="shared" si="31"/>
        <v>2.3333333333333335</v>
      </c>
    </row>
    <row r="57" spans="1:16" x14ac:dyDescent="0.3">
      <c r="A57" s="10"/>
      <c r="B57" s="10"/>
      <c r="C57" t="s">
        <v>32</v>
      </c>
      <c r="D57">
        <v>3</v>
      </c>
      <c r="E57">
        <v>3</v>
      </c>
      <c r="F57">
        <v>3</v>
      </c>
      <c r="G57">
        <v>3</v>
      </c>
      <c r="H57">
        <v>2</v>
      </c>
      <c r="I57">
        <v>1</v>
      </c>
      <c r="J57">
        <v>3</v>
      </c>
      <c r="K57">
        <v>2</v>
      </c>
      <c r="L57">
        <v>2</v>
      </c>
      <c r="N57" s="4">
        <f t="shared" si="29"/>
        <v>3</v>
      </c>
      <c r="O57" s="4">
        <f t="shared" si="30"/>
        <v>2.3333333333333335</v>
      </c>
      <c r="P57" s="4">
        <f t="shared" si="31"/>
        <v>2</v>
      </c>
    </row>
    <row r="58" spans="1:16" x14ac:dyDescent="0.3">
      <c r="A58" s="10">
        <v>9</v>
      </c>
      <c r="B58" s="10" t="s">
        <v>13</v>
      </c>
      <c r="C58" s="2" t="s">
        <v>25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N58" s="4">
        <f t="shared" si="29"/>
        <v>3</v>
      </c>
      <c r="O58" s="4">
        <f t="shared" si="30"/>
        <v>3</v>
      </c>
      <c r="P58" s="4">
        <f t="shared" si="31"/>
        <v>3</v>
      </c>
    </row>
    <row r="59" spans="1:16" x14ac:dyDescent="0.3">
      <c r="A59" s="10"/>
      <c r="B59" s="10"/>
      <c r="C59" t="s">
        <v>26</v>
      </c>
      <c r="D59">
        <v>3</v>
      </c>
      <c r="E59">
        <v>3</v>
      </c>
      <c r="F59">
        <v>3</v>
      </c>
      <c r="G59">
        <v>3</v>
      </c>
      <c r="H59">
        <v>2</v>
      </c>
      <c r="I59">
        <v>3</v>
      </c>
      <c r="J59">
        <v>3</v>
      </c>
      <c r="K59">
        <v>3</v>
      </c>
      <c r="L59">
        <v>3</v>
      </c>
      <c r="N59" s="4">
        <f t="shared" si="29"/>
        <v>3</v>
      </c>
      <c r="O59" s="4">
        <f t="shared" si="30"/>
        <v>2.6666666666666665</v>
      </c>
      <c r="P59" s="4">
        <f t="shared" si="31"/>
        <v>3</v>
      </c>
    </row>
    <row r="60" spans="1:16" x14ac:dyDescent="0.3">
      <c r="A60" s="10"/>
      <c r="B60" s="10"/>
      <c r="C60" t="s">
        <v>27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N60" s="4">
        <f t="shared" si="29"/>
        <v>3</v>
      </c>
      <c r="O60" s="4">
        <f t="shared" si="30"/>
        <v>3</v>
      </c>
      <c r="P60" s="4">
        <f t="shared" si="31"/>
        <v>3</v>
      </c>
    </row>
    <row r="61" spans="1:16" x14ac:dyDescent="0.3">
      <c r="A61" s="10"/>
      <c r="B61" s="10"/>
      <c r="C61" t="s">
        <v>28</v>
      </c>
      <c r="D61">
        <v>3</v>
      </c>
      <c r="E61">
        <v>3</v>
      </c>
      <c r="F61">
        <v>3</v>
      </c>
      <c r="G61">
        <v>2</v>
      </c>
      <c r="H61">
        <v>3</v>
      </c>
      <c r="I61">
        <v>2</v>
      </c>
      <c r="J61">
        <v>3</v>
      </c>
      <c r="K61">
        <v>3</v>
      </c>
      <c r="L61">
        <v>3</v>
      </c>
      <c r="N61" s="4">
        <f t="shared" si="29"/>
        <v>2.6666666666666665</v>
      </c>
      <c r="O61" s="4">
        <f t="shared" si="30"/>
        <v>3</v>
      </c>
      <c r="P61" s="4">
        <f t="shared" si="31"/>
        <v>2.6666666666666665</v>
      </c>
    </row>
    <row r="62" spans="1:16" x14ac:dyDescent="0.3">
      <c r="A62" s="10"/>
      <c r="B62" s="10"/>
      <c r="C62" t="s">
        <v>30</v>
      </c>
      <c r="D62">
        <v>3</v>
      </c>
      <c r="E62">
        <v>2</v>
      </c>
      <c r="F62">
        <v>2</v>
      </c>
      <c r="G62">
        <v>3</v>
      </c>
      <c r="H62">
        <v>0</v>
      </c>
      <c r="I62">
        <v>0</v>
      </c>
      <c r="J62">
        <v>2</v>
      </c>
      <c r="K62">
        <v>2</v>
      </c>
      <c r="L62">
        <v>1</v>
      </c>
      <c r="N62" s="4">
        <f t="shared" si="29"/>
        <v>2.6666666666666665</v>
      </c>
      <c r="O62" s="4">
        <f t="shared" si="30"/>
        <v>1.3333333333333333</v>
      </c>
      <c r="P62" s="4">
        <f t="shared" si="31"/>
        <v>1</v>
      </c>
    </row>
    <row r="63" spans="1:16" x14ac:dyDescent="0.3">
      <c r="A63" s="10"/>
      <c r="B63" s="10"/>
      <c r="C63" t="s">
        <v>31</v>
      </c>
      <c r="D63">
        <v>2</v>
      </c>
      <c r="E63">
        <v>1</v>
      </c>
      <c r="F63">
        <v>2</v>
      </c>
      <c r="G63">
        <v>3</v>
      </c>
      <c r="H63">
        <v>2</v>
      </c>
      <c r="I63">
        <v>2</v>
      </c>
      <c r="J63">
        <v>2</v>
      </c>
      <c r="K63">
        <v>2</v>
      </c>
      <c r="L63">
        <v>2</v>
      </c>
      <c r="N63" s="4">
        <f t="shared" si="29"/>
        <v>2.3333333333333335</v>
      </c>
      <c r="O63" s="4">
        <f t="shared" si="30"/>
        <v>1.6666666666666667</v>
      </c>
      <c r="P63" s="4">
        <f t="shared" si="31"/>
        <v>2</v>
      </c>
    </row>
    <row r="64" spans="1:16" x14ac:dyDescent="0.3">
      <c r="A64" s="10"/>
      <c r="B64" s="10"/>
      <c r="C64" t="s">
        <v>32</v>
      </c>
      <c r="D64">
        <v>3</v>
      </c>
      <c r="E64">
        <v>3</v>
      </c>
      <c r="F64">
        <v>3</v>
      </c>
      <c r="G64">
        <v>3</v>
      </c>
      <c r="H64">
        <v>1</v>
      </c>
      <c r="I64">
        <v>1</v>
      </c>
      <c r="J64">
        <v>2</v>
      </c>
      <c r="K64">
        <v>2</v>
      </c>
      <c r="L64">
        <v>1</v>
      </c>
      <c r="N64" s="4">
        <f t="shared" si="29"/>
        <v>2.6666666666666665</v>
      </c>
      <c r="O64" s="4">
        <f t="shared" si="30"/>
        <v>2</v>
      </c>
      <c r="P64" s="4">
        <f t="shared" si="31"/>
        <v>1.6666666666666667</v>
      </c>
    </row>
    <row r="65" spans="1:16" x14ac:dyDescent="0.3">
      <c r="A65" s="10">
        <v>10</v>
      </c>
      <c r="B65" s="10" t="s">
        <v>15</v>
      </c>
      <c r="C65" s="2" t="s">
        <v>25</v>
      </c>
      <c r="D65">
        <v>3</v>
      </c>
      <c r="E65">
        <v>3</v>
      </c>
      <c r="F65">
        <v>3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N65" s="4">
        <f t="shared" si="29"/>
        <v>2.3333333333333335</v>
      </c>
      <c r="O65" s="4">
        <f t="shared" si="30"/>
        <v>2.3333333333333335</v>
      </c>
      <c r="P65" s="4">
        <f t="shared" si="31"/>
        <v>2.3333333333333335</v>
      </c>
    </row>
    <row r="66" spans="1:16" x14ac:dyDescent="0.3">
      <c r="A66" s="10"/>
      <c r="B66" s="10"/>
      <c r="C66" t="s">
        <v>26</v>
      </c>
      <c r="D66">
        <v>3</v>
      </c>
      <c r="E66">
        <v>3</v>
      </c>
      <c r="F66">
        <v>3</v>
      </c>
      <c r="G66">
        <v>1</v>
      </c>
      <c r="H66">
        <v>3</v>
      </c>
      <c r="I66">
        <v>1</v>
      </c>
      <c r="J66">
        <v>2</v>
      </c>
      <c r="K66">
        <v>2</v>
      </c>
      <c r="L66">
        <v>2</v>
      </c>
      <c r="N66" s="4">
        <f t="shared" si="29"/>
        <v>2</v>
      </c>
      <c r="O66" s="4">
        <f t="shared" si="30"/>
        <v>2.6666666666666665</v>
      </c>
      <c r="P66" s="4">
        <f t="shared" si="31"/>
        <v>2</v>
      </c>
    </row>
    <row r="67" spans="1:16" x14ac:dyDescent="0.3">
      <c r="A67" s="10"/>
      <c r="B67" s="10"/>
      <c r="C67" t="s">
        <v>27</v>
      </c>
      <c r="D67">
        <v>3</v>
      </c>
      <c r="E67">
        <v>3</v>
      </c>
      <c r="F67">
        <v>2</v>
      </c>
      <c r="G67">
        <v>1</v>
      </c>
      <c r="H67">
        <v>3</v>
      </c>
      <c r="I67">
        <v>3</v>
      </c>
      <c r="J67">
        <v>2</v>
      </c>
      <c r="K67">
        <v>3</v>
      </c>
      <c r="L67">
        <v>3</v>
      </c>
      <c r="N67" s="4">
        <f t="shared" si="29"/>
        <v>2</v>
      </c>
      <c r="O67" s="4">
        <f t="shared" si="30"/>
        <v>3</v>
      </c>
      <c r="P67" s="4">
        <f t="shared" si="31"/>
        <v>2.6666666666666665</v>
      </c>
    </row>
    <row r="68" spans="1:16" x14ac:dyDescent="0.3">
      <c r="A68" s="10"/>
      <c r="B68" s="10"/>
      <c r="C68" t="s">
        <v>28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N68" s="4">
        <f t="shared" si="29"/>
        <v>3</v>
      </c>
      <c r="O68" s="4">
        <f t="shared" si="30"/>
        <v>3</v>
      </c>
      <c r="P68" s="4">
        <f t="shared" si="31"/>
        <v>3</v>
      </c>
    </row>
    <row r="69" spans="1:16" x14ac:dyDescent="0.3">
      <c r="A69" s="10"/>
      <c r="B69" s="10"/>
      <c r="C69" t="s">
        <v>30</v>
      </c>
      <c r="D69">
        <v>2</v>
      </c>
      <c r="E69">
        <v>2</v>
      </c>
      <c r="F69">
        <v>1</v>
      </c>
      <c r="G69">
        <v>1</v>
      </c>
      <c r="H69">
        <v>3</v>
      </c>
      <c r="I69">
        <v>0</v>
      </c>
      <c r="J69">
        <v>2</v>
      </c>
      <c r="K69">
        <v>3</v>
      </c>
      <c r="L69">
        <v>1</v>
      </c>
      <c r="N69" s="4">
        <f t="shared" si="29"/>
        <v>1.6666666666666667</v>
      </c>
      <c r="O69" s="4">
        <f t="shared" si="30"/>
        <v>2.6666666666666665</v>
      </c>
      <c r="P69" s="4">
        <f t="shared" si="31"/>
        <v>0.66666666666666663</v>
      </c>
    </row>
    <row r="70" spans="1:16" x14ac:dyDescent="0.3">
      <c r="A70" s="10"/>
      <c r="B70" s="10"/>
      <c r="C70" t="s">
        <v>31</v>
      </c>
      <c r="D70">
        <v>1</v>
      </c>
      <c r="E70">
        <v>2</v>
      </c>
      <c r="F70">
        <v>1</v>
      </c>
      <c r="G70">
        <v>1</v>
      </c>
      <c r="H70">
        <v>3</v>
      </c>
      <c r="I70">
        <v>0</v>
      </c>
      <c r="J70">
        <v>1</v>
      </c>
      <c r="K70">
        <v>3</v>
      </c>
      <c r="L70">
        <v>1</v>
      </c>
      <c r="N70" s="4">
        <f t="shared" si="29"/>
        <v>1</v>
      </c>
      <c r="O70" s="4">
        <f t="shared" si="30"/>
        <v>2.6666666666666665</v>
      </c>
      <c r="P70" s="4">
        <f t="shared" si="31"/>
        <v>0.66666666666666663</v>
      </c>
    </row>
    <row r="71" spans="1:16" x14ac:dyDescent="0.3">
      <c r="A71" s="10"/>
      <c r="B71" s="10"/>
      <c r="C71" t="s">
        <v>32</v>
      </c>
      <c r="D71">
        <v>2</v>
      </c>
      <c r="E71">
        <v>2</v>
      </c>
      <c r="F71">
        <v>1</v>
      </c>
      <c r="G71">
        <v>0</v>
      </c>
      <c r="H71">
        <v>3</v>
      </c>
      <c r="I71">
        <v>0</v>
      </c>
      <c r="J71">
        <v>2</v>
      </c>
      <c r="K71">
        <v>3</v>
      </c>
      <c r="L71">
        <v>1</v>
      </c>
      <c r="N71" s="4">
        <f t="shared" si="29"/>
        <v>1.3333333333333333</v>
      </c>
      <c r="O71" s="4">
        <f t="shared" si="30"/>
        <v>2.6666666666666665</v>
      </c>
      <c r="P71" s="4">
        <f t="shared" si="31"/>
        <v>0.66666666666666663</v>
      </c>
    </row>
    <row r="72" spans="1:16" x14ac:dyDescent="0.3">
      <c r="A72" s="10">
        <v>11</v>
      </c>
      <c r="B72" s="10" t="s">
        <v>16</v>
      </c>
      <c r="C72" s="2" t="s">
        <v>25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2</v>
      </c>
      <c r="K72">
        <v>2</v>
      </c>
      <c r="L72">
        <v>2</v>
      </c>
      <c r="N72" s="4">
        <f t="shared" si="29"/>
        <v>1.3333333333333333</v>
      </c>
      <c r="O72" s="4">
        <f t="shared" si="30"/>
        <v>1.3333333333333333</v>
      </c>
      <c r="P72" s="4">
        <f t="shared" si="31"/>
        <v>1.3333333333333333</v>
      </c>
    </row>
    <row r="73" spans="1:16" x14ac:dyDescent="0.3">
      <c r="A73" s="10"/>
      <c r="B73" s="10"/>
      <c r="C73" t="s">
        <v>26</v>
      </c>
      <c r="D73">
        <v>3</v>
      </c>
      <c r="E73">
        <v>3</v>
      </c>
      <c r="F73">
        <v>2</v>
      </c>
      <c r="G73">
        <v>1</v>
      </c>
      <c r="H73">
        <v>3</v>
      </c>
      <c r="I73">
        <v>1</v>
      </c>
      <c r="J73">
        <v>3</v>
      </c>
      <c r="K73">
        <v>3</v>
      </c>
      <c r="L73">
        <v>3</v>
      </c>
      <c r="N73" s="4">
        <f t="shared" si="29"/>
        <v>2.3333333333333335</v>
      </c>
      <c r="O73" s="4">
        <f t="shared" si="30"/>
        <v>3</v>
      </c>
      <c r="P73" s="4">
        <f t="shared" si="31"/>
        <v>2</v>
      </c>
    </row>
    <row r="74" spans="1:16" x14ac:dyDescent="0.3">
      <c r="A74" s="10"/>
      <c r="B74" s="10"/>
      <c r="C74" t="s">
        <v>27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N74" s="4">
        <f t="shared" ref="N74:N137" si="32">AVERAGE(D74,G74,J74)</f>
        <v>3</v>
      </c>
      <c r="O74" s="4">
        <f t="shared" ref="O74:O137" si="33">AVERAGE(E74,H74,K74)</f>
        <v>3</v>
      </c>
      <c r="P74" s="4">
        <f t="shared" ref="P74:P137" si="34">AVERAGE(F74,I74,L74)</f>
        <v>3</v>
      </c>
    </row>
    <row r="75" spans="1:16" x14ac:dyDescent="0.3">
      <c r="A75" s="10"/>
      <c r="B75" s="10"/>
      <c r="C75" t="s">
        <v>28</v>
      </c>
      <c r="D75">
        <v>1</v>
      </c>
      <c r="E75">
        <v>3</v>
      </c>
      <c r="F75">
        <v>1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N75" s="4">
        <f t="shared" si="32"/>
        <v>2.3333333333333335</v>
      </c>
      <c r="O75" s="4">
        <f t="shared" si="33"/>
        <v>3</v>
      </c>
      <c r="P75" s="4">
        <f t="shared" si="34"/>
        <v>2.3333333333333335</v>
      </c>
    </row>
    <row r="76" spans="1:16" x14ac:dyDescent="0.3">
      <c r="A76" s="10"/>
      <c r="B76" s="10"/>
      <c r="C76" t="s">
        <v>30</v>
      </c>
      <c r="D76">
        <v>2</v>
      </c>
      <c r="E76">
        <v>3</v>
      </c>
      <c r="F76">
        <v>1</v>
      </c>
      <c r="G76">
        <v>1</v>
      </c>
      <c r="H76">
        <v>3</v>
      </c>
      <c r="I76">
        <v>0</v>
      </c>
      <c r="J76">
        <v>3</v>
      </c>
      <c r="K76">
        <v>3</v>
      </c>
      <c r="L76">
        <v>1</v>
      </c>
      <c r="N76" s="4">
        <f t="shared" si="32"/>
        <v>2</v>
      </c>
      <c r="O76" s="4">
        <f t="shared" si="33"/>
        <v>3</v>
      </c>
      <c r="P76" s="4">
        <f t="shared" si="34"/>
        <v>0.66666666666666663</v>
      </c>
    </row>
    <row r="77" spans="1:16" x14ac:dyDescent="0.3">
      <c r="A77" s="10"/>
      <c r="B77" s="10"/>
      <c r="C77" t="s">
        <v>31</v>
      </c>
      <c r="D77">
        <v>2</v>
      </c>
      <c r="E77">
        <v>1</v>
      </c>
      <c r="F77">
        <v>1</v>
      </c>
      <c r="G77">
        <v>1</v>
      </c>
      <c r="H77">
        <v>2</v>
      </c>
      <c r="I77">
        <v>0</v>
      </c>
      <c r="J77">
        <v>1</v>
      </c>
      <c r="K77">
        <v>2</v>
      </c>
      <c r="L77">
        <v>1</v>
      </c>
      <c r="N77" s="4">
        <f t="shared" si="32"/>
        <v>1.3333333333333333</v>
      </c>
      <c r="O77" s="4">
        <f t="shared" si="33"/>
        <v>1.6666666666666667</v>
      </c>
      <c r="P77" s="4">
        <f t="shared" si="34"/>
        <v>0.66666666666666663</v>
      </c>
    </row>
    <row r="78" spans="1:16" x14ac:dyDescent="0.3">
      <c r="A78" s="10"/>
      <c r="B78" s="10"/>
      <c r="C78" t="s">
        <v>32</v>
      </c>
      <c r="D78">
        <v>1</v>
      </c>
      <c r="E78">
        <v>3</v>
      </c>
      <c r="F78">
        <v>1</v>
      </c>
      <c r="G78">
        <v>1</v>
      </c>
      <c r="H78">
        <v>3</v>
      </c>
      <c r="I78">
        <v>0</v>
      </c>
      <c r="J78">
        <v>2</v>
      </c>
      <c r="K78">
        <v>3</v>
      </c>
      <c r="L78">
        <v>1</v>
      </c>
      <c r="N78" s="4">
        <f t="shared" si="32"/>
        <v>1.3333333333333333</v>
      </c>
      <c r="O78" s="4">
        <f t="shared" si="33"/>
        <v>3</v>
      </c>
      <c r="P78" s="4">
        <f t="shared" si="34"/>
        <v>0.66666666666666663</v>
      </c>
    </row>
    <row r="79" spans="1:16" x14ac:dyDescent="0.3">
      <c r="A79" s="10">
        <v>12</v>
      </c>
      <c r="B79" s="10" t="s">
        <v>18</v>
      </c>
      <c r="C79" s="2" t="s">
        <v>25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2</v>
      </c>
      <c r="K79">
        <v>2</v>
      </c>
      <c r="L79">
        <v>2</v>
      </c>
      <c r="N79" s="4">
        <f t="shared" si="32"/>
        <v>2.6666666666666665</v>
      </c>
      <c r="O79" s="4">
        <f t="shared" si="33"/>
        <v>2.6666666666666665</v>
      </c>
      <c r="P79" s="4">
        <f t="shared" si="34"/>
        <v>2.6666666666666665</v>
      </c>
    </row>
    <row r="80" spans="1:16" x14ac:dyDescent="0.3">
      <c r="A80" s="10"/>
      <c r="B80" s="10"/>
      <c r="C80" t="s">
        <v>26</v>
      </c>
      <c r="D80">
        <v>2</v>
      </c>
      <c r="E80">
        <v>1</v>
      </c>
      <c r="F80">
        <v>2</v>
      </c>
      <c r="G80">
        <v>2</v>
      </c>
      <c r="H80">
        <v>3</v>
      </c>
      <c r="I80">
        <v>2</v>
      </c>
      <c r="J80">
        <v>3</v>
      </c>
      <c r="K80">
        <v>3</v>
      </c>
      <c r="L80">
        <v>3</v>
      </c>
      <c r="N80" s="4">
        <f t="shared" si="32"/>
        <v>2.3333333333333335</v>
      </c>
      <c r="O80" s="4">
        <f t="shared" si="33"/>
        <v>2.3333333333333335</v>
      </c>
      <c r="P80" s="4">
        <f t="shared" si="34"/>
        <v>2.3333333333333335</v>
      </c>
    </row>
    <row r="81" spans="1:16" x14ac:dyDescent="0.3">
      <c r="A81" s="10"/>
      <c r="B81" s="10"/>
      <c r="C81" t="s">
        <v>27</v>
      </c>
      <c r="D81">
        <v>2</v>
      </c>
      <c r="E81">
        <v>3</v>
      </c>
      <c r="F81">
        <v>2</v>
      </c>
      <c r="G81">
        <v>3</v>
      </c>
      <c r="H81">
        <v>2</v>
      </c>
      <c r="I81">
        <v>2</v>
      </c>
      <c r="J81">
        <v>3</v>
      </c>
      <c r="K81">
        <v>3</v>
      </c>
      <c r="L81">
        <v>3</v>
      </c>
      <c r="N81" s="4">
        <f t="shared" si="32"/>
        <v>2.6666666666666665</v>
      </c>
      <c r="O81" s="4">
        <f t="shared" si="33"/>
        <v>2.6666666666666665</v>
      </c>
      <c r="P81" s="4">
        <f t="shared" si="34"/>
        <v>2.3333333333333335</v>
      </c>
    </row>
    <row r="82" spans="1:16" x14ac:dyDescent="0.3">
      <c r="A82" s="10"/>
      <c r="B82" s="10"/>
      <c r="C82" t="s">
        <v>28</v>
      </c>
      <c r="D82">
        <v>3</v>
      </c>
      <c r="E82">
        <v>3</v>
      </c>
      <c r="F82">
        <v>3</v>
      </c>
      <c r="G82">
        <v>3</v>
      </c>
      <c r="H82">
        <v>3</v>
      </c>
      <c r="I82">
        <v>2</v>
      </c>
      <c r="J82">
        <v>3</v>
      </c>
      <c r="K82">
        <v>3</v>
      </c>
      <c r="L82">
        <v>3</v>
      </c>
      <c r="N82" s="4">
        <f t="shared" si="32"/>
        <v>3</v>
      </c>
      <c r="O82" s="4">
        <f t="shared" si="33"/>
        <v>3</v>
      </c>
      <c r="P82" s="4">
        <f t="shared" si="34"/>
        <v>2.6666666666666665</v>
      </c>
    </row>
    <row r="83" spans="1:16" x14ac:dyDescent="0.3">
      <c r="A83" s="10"/>
      <c r="B83" s="10"/>
      <c r="C83" t="s">
        <v>30</v>
      </c>
      <c r="D83">
        <v>3</v>
      </c>
      <c r="E83">
        <v>2</v>
      </c>
      <c r="F83">
        <v>1</v>
      </c>
      <c r="G83">
        <v>2</v>
      </c>
      <c r="H83">
        <v>2</v>
      </c>
      <c r="I83">
        <v>0</v>
      </c>
      <c r="J83">
        <v>1</v>
      </c>
      <c r="K83">
        <v>3</v>
      </c>
      <c r="L83">
        <v>1</v>
      </c>
      <c r="N83" s="4">
        <f t="shared" si="32"/>
        <v>2</v>
      </c>
      <c r="O83" s="4">
        <f t="shared" si="33"/>
        <v>2.3333333333333335</v>
      </c>
      <c r="P83" s="4">
        <f t="shared" si="34"/>
        <v>0.66666666666666663</v>
      </c>
    </row>
    <row r="84" spans="1:16" x14ac:dyDescent="0.3">
      <c r="A84" s="10"/>
      <c r="B84" s="10"/>
      <c r="C84" t="s">
        <v>31</v>
      </c>
      <c r="D84">
        <v>2</v>
      </c>
      <c r="E84">
        <v>3</v>
      </c>
      <c r="F84">
        <v>2</v>
      </c>
      <c r="G84">
        <v>2</v>
      </c>
      <c r="H84">
        <v>3</v>
      </c>
      <c r="I84">
        <v>2</v>
      </c>
      <c r="J84">
        <v>2</v>
      </c>
      <c r="K84">
        <v>3</v>
      </c>
      <c r="L84">
        <v>2</v>
      </c>
      <c r="N84" s="4">
        <f t="shared" si="32"/>
        <v>2</v>
      </c>
      <c r="O84" s="4">
        <f t="shared" si="33"/>
        <v>3</v>
      </c>
      <c r="P84" s="4">
        <f t="shared" si="34"/>
        <v>2</v>
      </c>
    </row>
    <row r="85" spans="1:16" x14ac:dyDescent="0.3">
      <c r="A85" s="10"/>
      <c r="B85" s="10"/>
      <c r="C85" t="s">
        <v>32</v>
      </c>
      <c r="D85">
        <v>2</v>
      </c>
      <c r="E85">
        <v>2</v>
      </c>
      <c r="F85">
        <v>2</v>
      </c>
      <c r="G85">
        <v>2</v>
      </c>
      <c r="H85">
        <v>3</v>
      </c>
      <c r="I85">
        <v>1</v>
      </c>
      <c r="J85">
        <v>2</v>
      </c>
      <c r="K85">
        <v>3</v>
      </c>
      <c r="L85">
        <v>3</v>
      </c>
      <c r="N85" s="4">
        <f t="shared" si="32"/>
        <v>2</v>
      </c>
      <c r="O85" s="4">
        <f t="shared" si="33"/>
        <v>2.6666666666666665</v>
      </c>
      <c r="P85" s="4">
        <f t="shared" si="34"/>
        <v>2</v>
      </c>
    </row>
    <row r="86" spans="1:16" x14ac:dyDescent="0.3">
      <c r="A86" s="10">
        <v>13</v>
      </c>
      <c r="B86" s="10" t="s">
        <v>20</v>
      </c>
      <c r="C86" s="2" t="s">
        <v>25</v>
      </c>
      <c r="D86">
        <v>3</v>
      </c>
      <c r="E86">
        <v>3</v>
      </c>
      <c r="F86">
        <v>3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N86" s="4">
        <f t="shared" si="32"/>
        <v>2.3333333333333335</v>
      </c>
      <c r="O86" s="4">
        <f t="shared" si="33"/>
        <v>2.3333333333333335</v>
      </c>
      <c r="P86" s="4">
        <f t="shared" si="34"/>
        <v>2.3333333333333335</v>
      </c>
    </row>
    <row r="87" spans="1:16" x14ac:dyDescent="0.3">
      <c r="A87" s="10"/>
      <c r="B87" s="10"/>
      <c r="C87" t="s">
        <v>26</v>
      </c>
      <c r="D87">
        <v>3</v>
      </c>
      <c r="E87">
        <v>1</v>
      </c>
      <c r="F87">
        <v>1</v>
      </c>
      <c r="G87">
        <v>2</v>
      </c>
      <c r="H87">
        <v>2</v>
      </c>
      <c r="I87">
        <v>3</v>
      </c>
      <c r="J87">
        <v>3</v>
      </c>
      <c r="K87">
        <v>2</v>
      </c>
      <c r="L87">
        <v>3</v>
      </c>
      <c r="N87" s="4">
        <f t="shared" si="32"/>
        <v>2.6666666666666665</v>
      </c>
      <c r="O87" s="4">
        <f t="shared" si="33"/>
        <v>1.6666666666666667</v>
      </c>
      <c r="P87" s="4">
        <f t="shared" si="34"/>
        <v>2.3333333333333335</v>
      </c>
    </row>
    <row r="88" spans="1:16" x14ac:dyDescent="0.3">
      <c r="A88" s="10"/>
      <c r="B88" s="10"/>
      <c r="C88" t="s">
        <v>27</v>
      </c>
      <c r="D88">
        <v>3</v>
      </c>
      <c r="E88">
        <v>3</v>
      </c>
      <c r="F88">
        <v>3</v>
      </c>
      <c r="G88">
        <v>3</v>
      </c>
      <c r="H88">
        <v>3</v>
      </c>
      <c r="I88">
        <v>2</v>
      </c>
      <c r="J88">
        <v>3</v>
      </c>
      <c r="K88">
        <v>3</v>
      </c>
      <c r="L88">
        <v>3</v>
      </c>
      <c r="N88" s="4">
        <f t="shared" si="32"/>
        <v>3</v>
      </c>
      <c r="O88" s="4">
        <f t="shared" si="33"/>
        <v>3</v>
      </c>
      <c r="P88" s="4">
        <f t="shared" si="34"/>
        <v>2.6666666666666665</v>
      </c>
    </row>
    <row r="89" spans="1:16" x14ac:dyDescent="0.3">
      <c r="A89" s="10"/>
      <c r="B89" s="10"/>
      <c r="C89" t="s">
        <v>28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N89" s="4">
        <f t="shared" si="32"/>
        <v>3</v>
      </c>
      <c r="O89" s="4">
        <f t="shared" si="33"/>
        <v>3</v>
      </c>
      <c r="P89" s="4">
        <f t="shared" si="34"/>
        <v>3</v>
      </c>
    </row>
    <row r="90" spans="1:16" x14ac:dyDescent="0.3">
      <c r="A90" s="10"/>
      <c r="B90" s="10"/>
      <c r="C90" t="s">
        <v>30</v>
      </c>
      <c r="D90">
        <v>1</v>
      </c>
      <c r="E90">
        <v>3</v>
      </c>
      <c r="F90">
        <v>1</v>
      </c>
      <c r="G90">
        <v>1</v>
      </c>
      <c r="H90">
        <v>3</v>
      </c>
      <c r="I90">
        <v>0</v>
      </c>
      <c r="J90">
        <v>1</v>
      </c>
      <c r="K90">
        <v>2</v>
      </c>
      <c r="L90">
        <v>1</v>
      </c>
      <c r="N90" s="4">
        <f t="shared" si="32"/>
        <v>1</v>
      </c>
      <c r="O90" s="4">
        <f t="shared" si="33"/>
        <v>2.6666666666666665</v>
      </c>
      <c r="P90" s="4">
        <f t="shared" si="34"/>
        <v>0.66666666666666663</v>
      </c>
    </row>
    <row r="91" spans="1:16" x14ac:dyDescent="0.3">
      <c r="A91" s="10"/>
      <c r="B91" s="10"/>
      <c r="C91" t="s">
        <v>31</v>
      </c>
      <c r="D91">
        <v>3</v>
      </c>
      <c r="E91">
        <v>2</v>
      </c>
      <c r="F91">
        <v>2</v>
      </c>
      <c r="G91">
        <v>2</v>
      </c>
      <c r="H91">
        <v>2</v>
      </c>
      <c r="I91">
        <v>3</v>
      </c>
      <c r="J91">
        <v>2</v>
      </c>
      <c r="K91">
        <v>2</v>
      </c>
      <c r="L91">
        <v>2</v>
      </c>
      <c r="N91" s="4">
        <f t="shared" si="32"/>
        <v>2.3333333333333335</v>
      </c>
      <c r="O91" s="4">
        <f t="shared" si="33"/>
        <v>2</v>
      </c>
      <c r="P91" s="4">
        <f t="shared" si="34"/>
        <v>2.3333333333333335</v>
      </c>
    </row>
    <row r="92" spans="1:16" x14ac:dyDescent="0.3">
      <c r="A92" s="10"/>
      <c r="B92" s="10"/>
      <c r="C92" t="s">
        <v>32</v>
      </c>
      <c r="D92">
        <v>3</v>
      </c>
      <c r="E92">
        <v>2</v>
      </c>
      <c r="F92">
        <v>2</v>
      </c>
      <c r="G92">
        <v>2</v>
      </c>
      <c r="H92">
        <v>3</v>
      </c>
      <c r="I92">
        <v>1</v>
      </c>
      <c r="J92">
        <v>1</v>
      </c>
      <c r="K92">
        <v>1</v>
      </c>
      <c r="L92">
        <v>1</v>
      </c>
      <c r="N92" s="4">
        <f t="shared" si="32"/>
        <v>2</v>
      </c>
      <c r="O92" s="4">
        <f t="shared" si="33"/>
        <v>2</v>
      </c>
      <c r="P92" s="4">
        <f t="shared" si="34"/>
        <v>1.3333333333333333</v>
      </c>
    </row>
    <row r="93" spans="1:16" x14ac:dyDescent="0.3">
      <c r="A93" s="10">
        <v>14</v>
      </c>
      <c r="B93" s="10" t="s">
        <v>22</v>
      </c>
      <c r="C93" s="2" t="s">
        <v>25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N93" s="4">
        <f t="shared" si="32"/>
        <v>3</v>
      </c>
      <c r="O93" s="4">
        <f t="shared" si="33"/>
        <v>3</v>
      </c>
      <c r="P93" s="4">
        <f t="shared" si="34"/>
        <v>3</v>
      </c>
    </row>
    <row r="94" spans="1:16" x14ac:dyDescent="0.3">
      <c r="A94" s="10"/>
      <c r="B94" s="10"/>
      <c r="C94" t="s">
        <v>26</v>
      </c>
      <c r="D94">
        <v>3</v>
      </c>
      <c r="E94">
        <v>2</v>
      </c>
      <c r="F94">
        <v>3</v>
      </c>
      <c r="G94">
        <v>3</v>
      </c>
      <c r="H94">
        <v>3</v>
      </c>
      <c r="I94">
        <v>3</v>
      </c>
      <c r="J94">
        <v>3</v>
      </c>
      <c r="K94">
        <v>2</v>
      </c>
      <c r="L94">
        <v>3</v>
      </c>
      <c r="N94" s="4">
        <f t="shared" si="32"/>
        <v>3</v>
      </c>
      <c r="O94" s="4">
        <f t="shared" si="33"/>
        <v>2.3333333333333335</v>
      </c>
      <c r="P94" s="4">
        <f t="shared" si="34"/>
        <v>3</v>
      </c>
    </row>
    <row r="95" spans="1:16" x14ac:dyDescent="0.3">
      <c r="A95" s="10"/>
      <c r="B95" s="10"/>
      <c r="C95" t="s">
        <v>27</v>
      </c>
      <c r="D95">
        <v>3</v>
      </c>
      <c r="E95">
        <v>3</v>
      </c>
      <c r="F95">
        <v>3</v>
      </c>
      <c r="G95">
        <v>2</v>
      </c>
      <c r="H95">
        <v>3</v>
      </c>
      <c r="I95">
        <v>2</v>
      </c>
      <c r="J95">
        <v>3</v>
      </c>
      <c r="K95">
        <v>3</v>
      </c>
      <c r="L95">
        <v>3</v>
      </c>
      <c r="N95" s="4">
        <f t="shared" si="32"/>
        <v>2.6666666666666665</v>
      </c>
      <c r="O95" s="4">
        <f t="shared" si="33"/>
        <v>3</v>
      </c>
      <c r="P95" s="4">
        <f t="shared" si="34"/>
        <v>2.6666666666666665</v>
      </c>
    </row>
    <row r="96" spans="1:16" x14ac:dyDescent="0.3">
      <c r="A96" s="10"/>
      <c r="B96" s="10"/>
      <c r="C96" t="s">
        <v>28</v>
      </c>
      <c r="D96">
        <v>3</v>
      </c>
      <c r="E96">
        <v>3</v>
      </c>
      <c r="F96">
        <v>3</v>
      </c>
      <c r="G96">
        <v>3</v>
      </c>
      <c r="H96">
        <v>3</v>
      </c>
      <c r="I96">
        <v>2</v>
      </c>
      <c r="J96">
        <v>3</v>
      </c>
      <c r="K96">
        <v>3</v>
      </c>
      <c r="L96">
        <v>3</v>
      </c>
      <c r="N96" s="4">
        <f t="shared" si="32"/>
        <v>3</v>
      </c>
      <c r="O96" s="4">
        <f t="shared" si="33"/>
        <v>3</v>
      </c>
      <c r="P96" s="4">
        <f t="shared" si="34"/>
        <v>2.6666666666666665</v>
      </c>
    </row>
    <row r="97" spans="1:16" x14ac:dyDescent="0.3">
      <c r="A97" s="10"/>
      <c r="B97" s="10"/>
      <c r="C97" t="s">
        <v>30</v>
      </c>
      <c r="D97">
        <v>3</v>
      </c>
      <c r="E97">
        <v>2</v>
      </c>
      <c r="F97">
        <v>3</v>
      </c>
      <c r="G97">
        <v>2</v>
      </c>
      <c r="H97">
        <v>3</v>
      </c>
      <c r="I97">
        <v>2</v>
      </c>
      <c r="J97">
        <v>3</v>
      </c>
      <c r="K97">
        <v>3</v>
      </c>
      <c r="L97">
        <v>3</v>
      </c>
      <c r="N97" s="4">
        <f t="shared" si="32"/>
        <v>2.6666666666666665</v>
      </c>
      <c r="O97" s="4">
        <f t="shared" si="33"/>
        <v>2.6666666666666665</v>
      </c>
      <c r="P97" s="4">
        <f t="shared" si="34"/>
        <v>2.6666666666666665</v>
      </c>
    </row>
    <row r="98" spans="1:16" x14ac:dyDescent="0.3">
      <c r="A98" s="10"/>
      <c r="B98" s="10"/>
      <c r="C98" t="s">
        <v>31</v>
      </c>
      <c r="D98">
        <v>3</v>
      </c>
      <c r="E98">
        <v>2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N98" s="4">
        <f t="shared" si="32"/>
        <v>3</v>
      </c>
      <c r="O98" s="4">
        <f t="shared" si="33"/>
        <v>2.6666666666666665</v>
      </c>
      <c r="P98" s="4">
        <f t="shared" si="34"/>
        <v>3</v>
      </c>
    </row>
    <row r="99" spans="1:16" x14ac:dyDescent="0.3">
      <c r="A99" s="10"/>
      <c r="B99" s="10"/>
      <c r="C99" t="s">
        <v>32</v>
      </c>
      <c r="D99">
        <v>3</v>
      </c>
      <c r="E99">
        <v>3</v>
      </c>
      <c r="F99">
        <v>3</v>
      </c>
      <c r="G99">
        <v>2</v>
      </c>
      <c r="H99">
        <v>3</v>
      </c>
      <c r="I99">
        <v>2</v>
      </c>
      <c r="J99">
        <v>3</v>
      </c>
      <c r="K99">
        <v>3</v>
      </c>
      <c r="L99">
        <v>3</v>
      </c>
      <c r="N99" s="4">
        <f t="shared" si="32"/>
        <v>2.6666666666666665</v>
      </c>
      <c r="O99" s="4">
        <f t="shared" si="33"/>
        <v>3</v>
      </c>
      <c r="P99" s="4">
        <f t="shared" si="34"/>
        <v>2.6666666666666665</v>
      </c>
    </row>
    <row r="100" spans="1:16" x14ac:dyDescent="0.3">
      <c r="A100" s="10">
        <v>15</v>
      </c>
      <c r="B100" s="10" t="s">
        <v>37</v>
      </c>
      <c r="C100" s="2" t="s">
        <v>25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1</v>
      </c>
      <c r="J100">
        <v>2</v>
      </c>
      <c r="K100">
        <v>2</v>
      </c>
      <c r="L100">
        <v>2</v>
      </c>
      <c r="N100" s="4">
        <f t="shared" si="32"/>
        <v>1.6666666666666667</v>
      </c>
      <c r="O100" s="4">
        <f t="shared" si="33"/>
        <v>1.6666666666666667</v>
      </c>
      <c r="P100" s="4">
        <f t="shared" si="34"/>
        <v>1.6666666666666667</v>
      </c>
    </row>
    <row r="101" spans="1:16" x14ac:dyDescent="0.3">
      <c r="A101" s="10"/>
      <c r="B101" s="10"/>
      <c r="C101" t="s">
        <v>26</v>
      </c>
      <c r="D101">
        <v>1</v>
      </c>
      <c r="E101">
        <v>1</v>
      </c>
      <c r="F101">
        <v>1</v>
      </c>
      <c r="G101">
        <v>3</v>
      </c>
      <c r="H101">
        <v>3</v>
      </c>
      <c r="I101">
        <v>0</v>
      </c>
      <c r="J101">
        <v>3</v>
      </c>
      <c r="K101">
        <v>3</v>
      </c>
      <c r="L101">
        <v>3</v>
      </c>
      <c r="N101" s="4">
        <f t="shared" si="32"/>
        <v>2.3333333333333335</v>
      </c>
      <c r="O101" s="4">
        <f t="shared" si="33"/>
        <v>2.3333333333333335</v>
      </c>
      <c r="P101" s="4">
        <f t="shared" si="34"/>
        <v>1.3333333333333333</v>
      </c>
    </row>
    <row r="102" spans="1:16" x14ac:dyDescent="0.3">
      <c r="A102" s="10"/>
      <c r="B102" s="10"/>
      <c r="C102" t="s">
        <v>27</v>
      </c>
      <c r="D102">
        <v>3</v>
      </c>
      <c r="E102">
        <v>3</v>
      </c>
      <c r="F102">
        <v>1</v>
      </c>
      <c r="G102">
        <v>3</v>
      </c>
      <c r="H102">
        <v>3</v>
      </c>
      <c r="I102">
        <v>0</v>
      </c>
      <c r="J102">
        <v>3</v>
      </c>
      <c r="K102">
        <v>3</v>
      </c>
      <c r="L102">
        <v>3</v>
      </c>
      <c r="N102" s="4">
        <f t="shared" si="32"/>
        <v>3</v>
      </c>
      <c r="O102" s="4">
        <f t="shared" si="33"/>
        <v>3</v>
      </c>
      <c r="P102" s="4">
        <f t="shared" si="34"/>
        <v>1.3333333333333333</v>
      </c>
    </row>
    <row r="103" spans="1:16" x14ac:dyDescent="0.3">
      <c r="A103" s="10"/>
      <c r="B103" s="10"/>
      <c r="C103" t="s">
        <v>28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1</v>
      </c>
      <c r="J103">
        <v>3</v>
      </c>
      <c r="K103">
        <v>3</v>
      </c>
      <c r="L103">
        <v>3</v>
      </c>
      <c r="N103" s="4">
        <f t="shared" si="32"/>
        <v>3</v>
      </c>
      <c r="O103" s="4">
        <f t="shared" si="33"/>
        <v>3</v>
      </c>
      <c r="P103" s="4">
        <f t="shared" si="34"/>
        <v>2.3333333333333335</v>
      </c>
    </row>
    <row r="104" spans="1:16" x14ac:dyDescent="0.3">
      <c r="A104" s="10"/>
      <c r="B104" s="10"/>
      <c r="C104" t="s">
        <v>30</v>
      </c>
      <c r="D104">
        <v>2</v>
      </c>
      <c r="E104">
        <v>2</v>
      </c>
      <c r="F104">
        <v>1</v>
      </c>
      <c r="G104">
        <v>3</v>
      </c>
      <c r="H104">
        <v>3</v>
      </c>
      <c r="I104">
        <v>0</v>
      </c>
      <c r="J104">
        <v>3</v>
      </c>
      <c r="K104">
        <v>3</v>
      </c>
      <c r="L104">
        <v>1</v>
      </c>
      <c r="N104" s="4">
        <f t="shared" si="32"/>
        <v>2.6666666666666665</v>
      </c>
      <c r="O104" s="4">
        <f t="shared" si="33"/>
        <v>2.6666666666666665</v>
      </c>
      <c r="P104" s="4">
        <f t="shared" si="34"/>
        <v>0.66666666666666663</v>
      </c>
    </row>
    <row r="105" spans="1:16" x14ac:dyDescent="0.3">
      <c r="A105" s="10"/>
      <c r="B105" s="10"/>
      <c r="C105" t="s">
        <v>31</v>
      </c>
      <c r="D105">
        <v>1</v>
      </c>
      <c r="E105">
        <v>2</v>
      </c>
      <c r="F105">
        <v>1</v>
      </c>
      <c r="G105">
        <v>3</v>
      </c>
      <c r="H105">
        <v>3</v>
      </c>
      <c r="I105">
        <v>0</v>
      </c>
      <c r="J105">
        <v>3</v>
      </c>
      <c r="K105">
        <v>2</v>
      </c>
      <c r="L105">
        <v>1</v>
      </c>
      <c r="N105" s="4">
        <f t="shared" si="32"/>
        <v>2.3333333333333335</v>
      </c>
      <c r="O105" s="4">
        <f t="shared" si="33"/>
        <v>2.3333333333333335</v>
      </c>
      <c r="P105" s="4">
        <f t="shared" si="34"/>
        <v>0.66666666666666663</v>
      </c>
    </row>
    <row r="106" spans="1:16" x14ac:dyDescent="0.3">
      <c r="A106" s="10"/>
      <c r="B106" s="10"/>
      <c r="C106" t="s">
        <v>32</v>
      </c>
      <c r="D106">
        <v>2</v>
      </c>
      <c r="E106">
        <v>2</v>
      </c>
      <c r="F106">
        <v>1</v>
      </c>
      <c r="G106">
        <v>3</v>
      </c>
      <c r="H106">
        <v>3</v>
      </c>
      <c r="I106">
        <v>0</v>
      </c>
      <c r="J106">
        <v>3</v>
      </c>
      <c r="K106">
        <v>3</v>
      </c>
      <c r="L106">
        <v>1</v>
      </c>
      <c r="N106" s="4">
        <f t="shared" si="32"/>
        <v>2.6666666666666665</v>
      </c>
      <c r="O106" s="4">
        <f t="shared" si="33"/>
        <v>2.6666666666666665</v>
      </c>
      <c r="P106" s="4">
        <f t="shared" si="34"/>
        <v>0.66666666666666663</v>
      </c>
    </row>
    <row r="107" spans="1:16" x14ac:dyDescent="0.3">
      <c r="A107" s="10">
        <v>16</v>
      </c>
      <c r="B107" s="10" t="s">
        <v>2</v>
      </c>
      <c r="C107" s="2" t="s">
        <v>25</v>
      </c>
      <c r="D107">
        <v>3</v>
      </c>
      <c r="E107">
        <v>3</v>
      </c>
      <c r="F107">
        <v>3</v>
      </c>
      <c r="G107">
        <v>1</v>
      </c>
      <c r="H107">
        <v>1</v>
      </c>
      <c r="I107">
        <v>1</v>
      </c>
      <c r="J107">
        <v>3</v>
      </c>
      <c r="K107">
        <v>3</v>
      </c>
      <c r="L107">
        <v>3</v>
      </c>
      <c r="N107" s="4">
        <f t="shared" si="32"/>
        <v>2.3333333333333335</v>
      </c>
      <c r="O107" s="4">
        <f t="shared" si="33"/>
        <v>2.3333333333333335</v>
      </c>
      <c r="P107" s="4">
        <f t="shared" si="34"/>
        <v>2.3333333333333335</v>
      </c>
    </row>
    <row r="108" spans="1:16" x14ac:dyDescent="0.3">
      <c r="A108" s="10"/>
      <c r="B108" s="10"/>
      <c r="C108" t="s">
        <v>26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1</v>
      </c>
      <c r="J108">
        <v>3</v>
      </c>
      <c r="K108">
        <v>3</v>
      </c>
      <c r="L108">
        <v>3</v>
      </c>
      <c r="N108" s="4">
        <f t="shared" si="32"/>
        <v>3</v>
      </c>
      <c r="O108" s="4">
        <f t="shared" si="33"/>
        <v>3</v>
      </c>
      <c r="P108" s="4">
        <f t="shared" si="34"/>
        <v>2.3333333333333335</v>
      </c>
    </row>
    <row r="109" spans="1:16" x14ac:dyDescent="0.3">
      <c r="A109" s="10"/>
      <c r="B109" s="10"/>
      <c r="C109" t="s">
        <v>27</v>
      </c>
      <c r="D109">
        <v>3</v>
      </c>
      <c r="E109">
        <v>3</v>
      </c>
      <c r="F109">
        <v>1</v>
      </c>
      <c r="G109">
        <v>3</v>
      </c>
      <c r="H109">
        <v>3</v>
      </c>
      <c r="I109">
        <v>0</v>
      </c>
      <c r="J109">
        <v>3</v>
      </c>
      <c r="K109">
        <v>3</v>
      </c>
      <c r="L109">
        <v>1</v>
      </c>
      <c r="N109" s="4">
        <f t="shared" si="32"/>
        <v>3</v>
      </c>
      <c r="O109" s="4">
        <f t="shared" si="33"/>
        <v>3</v>
      </c>
      <c r="P109" s="4">
        <f t="shared" si="34"/>
        <v>0.66666666666666663</v>
      </c>
    </row>
    <row r="110" spans="1:16" x14ac:dyDescent="0.3">
      <c r="A110" s="10"/>
      <c r="B110" s="10"/>
      <c r="C110" t="s">
        <v>28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2</v>
      </c>
      <c r="J110">
        <v>3</v>
      </c>
      <c r="K110">
        <v>3</v>
      </c>
      <c r="L110">
        <v>2</v>
      </c>
      <c r="N110" s="4">
        <f t="shared" si="32"/>
        <v>3</v>
      </c>
      <c r="O110" s="4">
        <f t="shared" si="33"/>
        <v>3</v>
      </c>
      <c r="P110" s="4">
        <f t="shared" si="34"/>
        <v>2.3333333333333335</v>
      </c>
    </row>
    <row r="111" spans="1:16" x14ac:dyDescent="0.3">
      <c r="A111" s="10"/>
      <c r="B111" s="10"/>
      <c r="C111" t="s">
        <v>30</v>
      </c>
      <c r="D111">
        <v>3</v>
      </c>
      <c r="E111">
        <v>3</v>
      </c>
      <c r="F111">
        <v>2</v>
      </c>
      <c r="G111">
        <v>2</v>
      </c>
      <c r="H111">
        <v>2</v>
      </c>
      <c r="I111">
        <v>1</v>
      </c>
      <c r="J111">
        <v>3</v>
      </c>
      <c r="K111">
        <v>3</v>
      </c>
      <c r="L111">
        <v>2</v>
      </c>
      <c r="N111" s="4">
        <f t="shared" si="32"/>
        <v>2.6666666666666665</v>
      </c>
      <c r="O111" s="4">
        <f t="shared" si="33"/>
        <v>2.6666666666666665</v>
      </c>
      <c r="P111" s="4">
        <f t="shared" si="34"/>
        <v>1.6666666666666667</v>
      </c>
    </row>
    <row r="112" spans="1:16" x14ac:dyDescent="0.3">
      <c r="A112" s="10"/>
      <c r="B112" s="10"/>
      <c r="C112" t="s">
        <v>31</v>
      </c>
      <c r="D112">
        <v>3</v>
      </c>
      <c r="E112">
        <v>2</v>
      </c>
      <c r="F112">
        <v>3</v>
      </c>
      <c r="G112">
        <v>3</v>
      </c>
      <c r="H112">
        <v>2</v>
      </c>
      <c r="I112">
        <v>2</v>
      </c>
      <c r="J112">
        <v>3</v>
      </c>
      <c r="K112">
        <v>2</v>
      </c>
      <c r="L112">
        <v>2</v>
      </c>
      <c r="N112" s="4">
        <f t="shared" si="32"/>
        <v>3</v>
      </c>
      <c r="O112" s="4">
        <f t="shared" si="33"/>
        <v>2</v>
      </c>
      <c r="P112" s="4">
        <f t="shared" si="34"/>
        <v>2.3333333333333335</v>
      </c>
    </row>
    <row r="113" spans="1:16" x14ac:dyDescent="0.3">
      <c r="A113" s="10"/>
      <c r="B113" s="10"/>
      <c r="C113" t="s">
        <v>32</v>
      </c>
      <c r="D113">
        <v>3</v>
      </c>
      <c r="E113">
        <v>3</v>
      </c>
      <c r="F113">
        <v>0</v>
      </c>
      <c r="G113">
        <v>3</v>
      </c>
      <c r="H113">
        <v>2</v>
      </c>
      <c r="I113">
        <v>0</v>
      </c>
      <c r="J113">
        <v>3</v>
      </c>
      <c r="K113">
        <v>2</v>
      </c>
      <c r="L113">
        <v>1</v>
      </c>
      <c r="N113" s="4">
        <f t="shared" si="32"/>
        <v>3</v>
      </c>
      <c r="O113" s="4">
        <f t="shared" si="33"/>
        <v>2.3333333333333335</v>
      </c>
      <c r="P113" s="4">
        <f t="shared" si="34"/>
        <v>0.33333333333333331</v>
      </c>
    </row>
    <row r="114" spans="1:16" x14ac:dyDescent="0.3">
      <c r="A114" s="10">
        <v>17</v>
      </c>
      <c r="B114" s="10" t="s">
        <v>38</v>
      </c>
      <c r="C114" s="2" t="s">
        <v>25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2</v>
      </c>
      <c r="L114">
        <v>2</v>
      </c>
      <c r="N114" s="4">
        <f t="shared" si="32"/>
        <v>1.3333333333333333</v>
      </c>
      <c r="O114" s="4">
        <f t="shared" si="33"/>
        <v>1.3333333333333333</v>
      </c>
      <c r="P114" s="4">
        <f t="shared" si="34"/>
        <v>1.3333333333333333</v>
      </c>
    </row>
    <row r="115" spans="1:16" x14ac:dyDescent="0.3">
      <c r="A115" s="10"/>
      <c r="B115" s="10"/>
      <c r="C115" t="s">
        <v>26</v>
      </c>
      <c r="D115">
        <v>3</v>
      </c>
      <c r="E115">
        <v>2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2</v>
      </c>
      <c r="L115">
        <v>3</v>
      </c>
      <c r="N115" s="4">
        <f t="shared" si="32"/>
        <v>3</v>
      </c>
      <c r="O115" s="4">
        <f t="shared" si="33"/>
        <v>2.3333333333333335</v>
      </c>
      <c r="P115" s="4">
        <f t="shared" si="34"/>
        <v>3</v>
      </c>
    </row>
    <row r="116" spans="1:16" x14ac:dyDescent="0.3">
      <c r="A116" s="10"/>
      <c r="B116" s="10"/>
      <c r="C116" t="s">
        <v>27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2</v>
      </c>
      <c r="L116">
        <v>3</v>
      </c>
      <c r="N116" s="4">
        <f t="shared" si="32"/>
        <v>3</v>
      </c>
      <c r="O116" s="4">
        <f t="shared" si="33"/>
        <v>2.6666666666666665</v>
      </c>
      <c r="P116" s="4">
        <f t="shared" si="34"/>
        <v>3</v>
      </c>
    </row>
    <row r="117" spans="1:16" x14ac:dyDescent="0.3">
      <c r="A117" s="10"/>
      <c r="B117" s="10"/>
      <c r="C117" t="s">
        <v>28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2</v>
      </c>
      <c r="L117">
        <v>3</v>
      </c>
      <c r="N117" s="4">
        <f t="shared" si="32"/>
        <v>3</v>
      </c>
      <c r="O117" s="4">
        <f t="shared" si="33"/>
        <v>2.6666666666666665</v>
      </c>
      <c r="P117" s="4">
        <f t="shared" si="34"/>
        <v>3</v>
      </c>
    </row>
    <row r="118" spans="1:16" x14ac:dyDescent="0.3">
      <c r="A118" s="10"/>
      <c r="B118" s="10"/>
      <c r="C118" t="s">
        <v>30</v>
      </c>
      <c r="D118">
        <v>2</v>
      </c>
      <c r="E118">
        <v>3</v>
      </c>
      <c r="F118">
        <v>1</v>
      </c>
      <c r="G118">
        <v>3</v>
      </c>
      <c r="H118">
        <v>3</v>
      </c>
      <c r="I118">
        <v>1</v>
      </c>
      <c r="J118">
        <v>3</v>
      </c>
      <c r="K118">
        <v>2</v>
      </c>
      <c r="L118">
        <v>1</v>
      </c>
      <c r="N118" s="4">
        <f t="shared" si="32"/>
        <v>2.6666666666666665</v>
      </c>
      <c r="O118" s="4">
        <f t="shared" si="33"/>
        <v>2.6666666666666665</v>
      </c>
      <c r="P118" s="4">
        <f t="shared" si="34"/>
        <v>1</v>
      </c>
    </row>
    <row r="119" spans="1:16" x14ac:dyDescent="0.3">
      <c r="A119" s="10"/>
      <c r="B119" s="10"/>
      <c r="C119" t="s">
        <v>31</v>
      </c>
      <c r="D119">
        <v>2</v>
      </c>
      <c r="E119">
        <v>1</v>
      </c>
      <c r="F119">
        <v>2</v>
      </c>
      <c r="G119">
        <v>3</v>
      </c>
      <c r="H119">
        <v>1</v>
      </c>
      <c r="I119">
        <v>3</v>
      </c>
      <c r="J119">
        <v>2</v>
      </c>
      <c r="K119">
        <v>1</v>
      </c>
      <c r="L119">
        <v>3</v>
      </c>
      <c r="N119" s="4">
        <f t="shared" si="32"/>
        <v>2.3333333333333335</v>
      </c>
      <c r="O119" s="4">
        <f t="shared" si="33"/>
        <v>1</v>
      </c>
      <c r="P119" s="4">
        <f t="shared" si="34"/>
        <v>2.6666666666666665</v>
      </c>
    </row>
    <row r="120" spans="1:16" x14ac:dyDescent="0.3">
      <c r="A120" s="10"/>
      <c r="B120" s="10"/>
      <c r="C120" t="s">
        <v>32</v>
      </c>
      <c r="D120">
        <v>3</v>
      </c>
      <c r="E120">
        <v>1</v>
      </c>
      <c r="F120">
        <v>3</v>
      </c>
      <c r="G120">
        <v>3</v>
      </c>
      <c r="H120">
        <v>1</v>
      </c>
      <c r="I120">
        <v>3</v>
      </c>
      <c r="J120">
        <v>3</v>
      </c>
      <c r="K120">
        <v>2</v>
      </c>
      <c r="L120">
        <v>2</v>
      </c>
      <c r="N120" s="4">
        <f t="shared" si="32"/>
        <v>3</v>
      </c>
      <c r="O120" s="4">
        <f t="shared" si="33"/>
        <v>1.3333333333333333</v>
      </c>
      <c r="P120" s="4">
        <f t="shared" si="34"/>
        <v>2.6666666666666665</v>
      </c>
    </row>
    <row r="121" spans="1:16" x14ac:dyDescent="0.3">
      <c r="A121" s="10">
        <v>18</v>
      </c>
      <c r="B121" s="10" t="s">
        <v>3</v>
      </c>
      <c r="C121" s="2" t="s">
        <v>25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N121" s="4">
        <f t="shared" si="32"/>
        <v>2</v>
      </c>
      <c r="O121" s="4">
        <f t="shared" si="33"/>
        <v>2</v>
      </c>
      <c r="P121" s="4">
        <f t="shared" si="34"/>
        <v>2</v>
      </c>
    </row>
    <row r="122" spans="1:16" x14ac:dyDescent="0.3">
      <c r="A122" s="10"/>
      <c r="B122" s="10"/>
      <c r="C122" t="s">
        <v>26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N122" s="4">
        <f t="shared" si="32"/>
        <v>3</v>
      </c>
      <c r="O122" s="4">
        <f t="shared" si="33"/>
        <v>3</v>
      </c>
      <c r="P122" s="4">
        <f t="shared" si="34"/>
        <v>3</v>
      </c>
    </row>
    <row r="123" spans="1:16" x14ac:dyDescent="0.3">
      <c r="A123" s="10"/>
      <c r="B123" s="10"/>
      <c r="C123" t="s">
        <v>27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N123" s="4">
        <f t="shared" si="32"/>
        <v>3</v>
      </c>
      <c r="O123" s="4">
        <f t="shared" si="33"/>
        <v>3</v>
      </c>
      <c r="P123" s="4">
        <f t="shared" si="34"/>
        <v>3</v>
      </c>
    </row>
    <row r="124" spans="1:16" x14ac:dyDescent="0.3">
      <c r="A124" s="10"/>
      <c r="B124" s="10"/>
      <c r="C124" t="s">
        <v>28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N124" s="4">
        <f t="shared" si="32"/>
        <v>3</v>
      </c>
      <c r="O124" s="4">
        <f t="shared" si="33"/>
        <v>3</v>
      </c>
      <c r="P124" s="4">
        <f t="shared" si="34"/>
        <v>3</v>
      </c>
    </row>
    <row r="125" spans="1:16" x14ac:dyDescent="0.3">
      <c r="A125" s="10"/>
      <c r="B125" s="10"/>
      <c r="C125" t="s">
        <v>30</v>
      </c>
      <c r="D125">
        <v>3</v>
      </c>
      <c r="E125">
        <v>3</v>
      </c>
      <c r="F125">
        <v>2</v>
      </c>
      <c r="G125">
        <v>2</v>
      </c>
      <c r="H125">
        <v>3</v>
      </c>
      <c r="I125">
        <v>3</v>
      </c>
      <c r="J125">
        <v>3</v>
      </c>
      <c r="K125">
        <v>3</v>
      </c>
      <c r="L125">
        <v>1</v>
      </c>
      <c r="N125" s="4">
        <f t="shared" si="32"/>
        <v>2.6666666666666665</v>
      </c>
      <c r="O125" s="4">
        <f t="shared" si="33"/>
        <v>3</v>
      </c>
      <c r="P125" s="4">
        <f t="shared" si="34"/>
        <v>2</v>
      </c>
    </row>
    <row r="126" spans="1:16" x14ac:dyDescent="0.3">
      <c r="A126" s="10"/>
      <c r="B126" s="10"/>
      <c r="C126" t="s">
        <v>31</v>
      </c>
      <c r="D126">
        <v>3</v>
      </c>
      <c r="E126">
        <v>3</v>
      </c>
      <c r="F126">
        <v>3</v>
      </c>
      <c r="G126">
        <v>2</v>
      </c>
      <c r="H126">
        <v>2</v>
      </c>
      <c r="I126">
        <v>2</v>
      </c>
      <c r="J126">
        <v>3</v>
      </c>
      <c r="K126">
        <v>2</v>
      </c>
      <c r="L126">
        <v>3</v>
      </c>
      <c r="N126" s="4">
        <f t="shared" si="32"/>
        <v>2.6666666666666665</v>
      </c>
      <c r="O126" s="4">
        <f t="shared" si="33"/>
        <v>2.3333333333333335</v>
      </c>
      <c r="P126" s="4">
        <f t="shared" si="34"/>
        <v>2.6666666666666665</v>
      </c>
    </row>
    <row r="127" spans="1:16" x14ac:dyDescent="0.3">
      <c r="A127" s="10"/>
      <c r="B127" s="10"/>
      <c r="C127" t="s">
        <v>32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2</v>
      </c>
      <c r="N127" s="4">
        <f t="shared" si="32"/>
        <v>3</v>
      </c>
      <c r="O127" s="4">
        <f t="shared" si="33"/>
        <v>3</v>
      </c>
      <c r="P127" s="4">
        <f t="shared" si="34"/>
        <v>2.6666666666666665</v>
      </c>
    </row>
    <row r="128" spans="1:16" x14ac:dyDescent="0.3">
      <c r="A128" s="10">
        <v>19</v>
      </c>
      <c r="B128" s="10" t="s">
        <v>5</v>
      </c>
      <c r="C128" s="2" t="s">
        <v>25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N128" s="4">
        <f t="shared" si="32"/>
        <v>2</v>
      </c>
      <c r="O128" s="4">
        <f t="shared" si="33"/>
        <v>2</v>
      </c>
      <c r="P128" s="4">
        <f t="shared" si="34"/>
        <v>2</v>
      </c>
    </row>
    <row r="129" spans="1:16" x14ac:dyDescent="0.3">
      <c r="A129" s="10"/>
      <c r="B129" s="10"/>
      <c r="C129" t="s">
        <v>26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N129" s="4">
        <f t="shared" si="32"/>
        <v>3</v>
      </c>
      <c r="O129" s="4">
        <f t="shared" si="33"/>
        <v>3</v>
      </c>
      <c r="P129" s="4">
        <f t="shared" si="34"/>
        <v>3</v>
      </c>
    </row>
    <row r="130" spans="1:16" x14ac:dyDescent="0.3">
      <c r="A130" s="10"/>
      <c r="B130" s="10"/>
      <c r="C130" t="s">
        <v>27</v>
      </c>
      <c r="D130">
        <v>1</v>
      </c>
      <c r="E130">
        <v>3</v>
      </c>
      <c r="F130">
        <v>1</v>
      </c>
      <c r="G130">
        <v>1</v>
      </c>
      <c r="H130">
        <v>3</v>
      </c>
      <c r="I130">
        <v>1</v>
      </c>
      <c r="J130">
        <v>1</v>
      </c>
      <c r="K130">
        <v>3</v>
      </c>
      <c r="L130">
        <v>1</v>
      </c>
      <c r="N130" s="4">
        <f t="shared" si="32"/>
        <v>1</v>
      </c>
      <c r="O130" s="4">
        <f t="shared" si="33"/>
        <v>3</v>
      </c>
      <c r="P130" s="4">
        <f t="shared" si="34"/>
        <v>1</v>
      </c>
    </row>
    <row r="131" spans="1:16" x14ac:dyDescent="0.3">
      <c r="A131" s="10"/>
      <c r="B131" s="10"/>
      <c r="C131" t="s">
        <v>28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N131" s="4">
        <f t="shared" si="32"/>
        <v>3</v>
      </c>
      <c r="O131" s="4">
        <f t="shared" si="33"/>
        <v>3</v>
      </c>
      <c r="P131" s="4">
        <f t="shared" si="34"/>
        <v>3</v>
      </c>
    </row>
    <row r="132" spans="1:16" x14ac:dyDescent="0.3">
      <c r="A132" s="10"/>
      <c r="B132" s="10"/>
      <c r="C132" t="s">
        <v>30</v>
      </c>
      <c r="D132">
        <v>3</v>
      </c>
      <c r="E132">
        <v>3</v>
      </c>
      <c r="F132">
        <v>2</v>
      </c>
      <c r="G132">
        <v>2</v>
      </c>
      <c r="H132">
        <v>3</v>
      </c>
      <c r="I132">
        <v>2</v>
      </c>
      <c r="J132">
        <v>1</v>
      </c>
      <c r="K132">
        <v>3</v>
      </c>
      <c r="L132">
        <v>2</v>
      </c>
      <c r="N132" s="4">
        <f t="shared" si="32"/>
        <v>2</v>
      </c>
      <c r="O132" s="4">
        <f t="shared" si="33"/>
        <v>3</v>
      </c>
      <c r="P132" s="4">
        <f t="shared" si="34"/>
        <v>2</v>
      </c>
    </row>
    <row r="133" spans="1:16" x14ac:dyDescent="0.3">
      <c r="A133" s="10"/>
      <c r="B133" s="10"/>
      <c r="C133" t="s">
        <v>31</v>
      </c>
      <c r="D133">
        <v>3</v>
      </c>
      <c r="E133">
        <v>2</v>
      </c>
      <c r="F133">
        <v>3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1</v>
      </c>
      <c r="N133" s="4">
        <f t="shared" si="32"/>
        <v>2.3333333333333335</v>
      </c>
      <c r="O133" s="4">
        <f t="shared" si="33"/>
        <v>2</v>
      </c>
      <c r="P133" s="4">
        <f t="shared" si="34"/>
        <v>2</v>
      </c>
    </row>
    <row r="134" spans="1:16" x14ac:dyDescent="0.3">
      <c r="A134" s="10"/>
      <c r="B134" s="10"/>
      <c r="C134" t="s">
        <v>32</v>
      </c>
      <c r="D134">
        <v>2</v>
      </c>
      <c r="E134">
        <v>3</v>
      </c>
      <c r="F134">
        <v>2</v>
      </c>
      <c r="G134">
        <v>1</v>
      </c>
      <c r="H134">
        <v>2</v>
      </c>
      <c r="I134">
        <v>1</v>
      </c>
      <c r="J134">
        <v>1</v>
      </c>
      <c r="K134">
        <v>2</v>
      </c>
      <c r="L134">
        <v>1</v>
      </c>
      <c r="N134" s="4">
        <f t="shared" si="32"/>
        <v>1.3333333333333333</v>
      </c>
      <c r="O134" s="4">
        <f t="shared" si="33"/>
        <v>2.3333333333333335</v>
      </c>
      <c r="P134" s="4">
        <f t="shared" si="34"/>
        <v>1.3333333333333333</v>
      </c>
    </row>
    <row r="135" spans="1:16" x14ac:dyDescent="0.3">
      <c r="A135" s="10">
        <v>20</v>
      </c>
      <c r="B135" s="10" t="s">
        <v>6</v>
      </c>
      <c r="C135" s="2" t="s">
        <v>25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3</v>
      </c>
      <c r="K135">
        <v>3</v>
      </c>
      <c r="L135">
        <v>3</v>
      </c>
      <c r="N135" s="4">
        <f t="shared" si="32"/>
        <v>2.3333333333333335</v>
      </c>
      <c r="O135" s="4">
        <f t="shared" si="33"/>
        <v>2.3333333333333335</v>
      </c>
      <c r="P135" s="4">
        <f t="shared" si="34"/>
        <v>2.3333333333333335</v>
      </c>
    </row>
    <row r="136" spans="1:16" x14ac:dyDescent="0.3">
      <c r="A136" s="10"/>
      <c r="B136" s="10"/>
      <c r="C136" t="s">
        <v>26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N136" s="4">
        <f t="shared" si="32"/>
        <v>3</v>
      </c>
      <c r="O136" s="4">
        <f t="shared" si="33"/>
        <v>3</v>
      </c>
      <c r="P136" s="4">
        <f t="shared" si="34"/>
        <v>3</v>
      </c>
    </row>
    <row r="137" spans="1:16" x14ac:dyDescent="0.3">
      <c r="A137" s="10"/>
      <c r="B137" s="10"/>
      <c r="C137" t="s">
        <v>27</v>
      </c>
      <c r="D137">
        <v>3</v>
      </c>
      <c r="E137">
        <v>2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N137" s="4">
        <f t="shared" si="32"/>
        <v>3</v>
      </c>
      <c r="O137" s="4">
        <f t="shared" si="33"/>
        <v>2.6666666666666665</v>
      </c>
      <c r="P137" s="4">
        <f t="shared" si="34"/>
        <v>3</v>
      </c>
    </row>
    <row r="138" spans="1:16" x14ac:dyDescent="0.3">
      <c r="A138" s="10"/>
      <c r="B138" s="10"/>
      <c r="C138" t="s">
        <v>28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3</v>
      </c>
      <c r="L138">
        <v>3</v>
      </c>
      <c r="N138" s="4">
        <f t="shared" ref="N138:N201" si="35">AVERAGE(D138,G138,J138)</f>
        <v>2.6666666666666665</v>
      </c>
      <c r="O138" s="4">
        <f t="shared" ref="O138:O201" si="36">AVERAGE(E138,H138,K138)</f>
        <v>3</v>
      </c>
      <c r="P138" s="4">
        <f t="shared" ref="P138:P201" si="37">AVERAGE(F138,I138,L138)</f>
        <v>3</v>
      </c>
    </row>
    <row r="139" spans="1:16" x14ac:dyDescent="0.3">
      <c r="A139" s="10"/>
      <c r="B139" s="10"/>
      <c r="C139" t="s">
        <v>30</v>
      </c>
      <c r="D139">
        <v>2</v>
      </c>
      <c r="E139">
        <v>3</v>
      </c>
      <c r="F139">
        <v>1</v>
      </c>
      <c r="G139">
        <v>3</v>
      </c>
      <c r="H139">
        <v>3</v>
      </c>
      <c r="I139">
        <v>1</v>
      </c>
      <c r="J139">
        <v>1</v>
      </c>
      <c r="K139">
        <v>3</v>
      </c>
      <c r="L139">
        <v>1</v>
      </c>
      <c r="N139" s="4">
        <f t="shared" si="35"/>
        <v>2</v>
      </c>
      <c r="O139" s="4">
        <f t="shared" si="36"/>
        <v>3</v>
      </c>
      <c r="P139" s="4">
        <f t="shared" si="37"/>
        <v>1</v>
      </c>
    </row>
    <row r="140" spans="1:16" x14ac:dyDescent="0.3">
      <c r="A140" s="10"/>
      <c r="B140" s="10"/>
      <c r="C140" t="s">
        <v>31</v>
      </c>
      <c r="D140">
        <v>3</v>
      </c>
      <c r="E140">
        <v>2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  <c r="N140" s="4">
        <f t="shared" si="35"/>
        <v>3</v>
      </c>
      <c r="O140" s="4">
        <f t="shared" si="36"/>
        <v>2.6666666666666665</v>
      </c>
      <c r="P140" s="4">
        <f t="shared" si="37"/>
        <v>3</v>
      </c>
    </row>
    <row r="141" spans="1:16" x14ac:dyDescent="0.3">
      <c r="A141" s="10"/>
      <c r="B141" s="10"/>
      <c r="C141" t="s">
        <v>32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N141" s="4">
        <f t="shared" si="35"/>
        <v>3</v>
      </c>
      <c r="O141" s="4">
        <f t="shared" si="36"/>
        <v>3</v>
      </c>
      <c r="P141" s="4">
        <f t="shared" si="37"/>
        <v>3</v>
      </c>
    </row>
    <row r="142" spans="1:16" x14ac:dyDescent="0.3">
      <c r="A142" s="10">
        <v>21</v>
      </c>
      <c r="B142" s="10" t="s">
        <v>8</v>
      </c>
      <c r="C142" s="2" t="s">
        <v>25</v>
      </c>
      <c r="D142">
        <v>3</v>
      </c>
      <c r="E142">
        <v>3</v>
      </c>
      <c r="F142">
        <v>3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N142" s="4">
        <f t="shared" si="35"/>
        <v>2.3333333333333335</v>
      </c>
      <c r="O142" s="4">
        <f t="shared" si="36"/>
        <v>2.3333333333333335</v>
      </c>
      <c r="P142" s="4">
        <f t="shared" si="37"/>
        <v>2.3333333333333335</v>
      </c>
    </row>
    <row r="143" spans="1:16" x14ac:dyDescent="0.3">
      <c r="A143" s="10"/>
      <c r="B143" s="10"/>
      <c r="C143" t="s">
        <v>26</v>
      </c>
      <c r="D143">
        <v>3</v>
      </c>
      <c r="E143">
        <v>2</v>
      </c>
      <c r="F143">
        <v>3</v>
      </c>
      <c r="G143">
        <v>3</v>
      </c>
      <c r="H143">
        <v>2</v>
      </c>
      <c r="I143">
        <v>3</v>
      </c>
      <c r="J143">
        <v>3</v>
      </c>
      <c r="K143">
        <v>2</v>
      </c>
      <c r="L143">
        <v>3</v>
      </c>
      <c r="N143" s="4">
        <f t="shared" si="35"/>
        <v>3</v>
      </c>
      <c r="O143" s="4">
        <f t="shared" si="36"/>
        <v>2</v>
      </c>
      <c r="P143" s="4">
        <f t="shared" si="37"/>
        <v>3</v>
      </c>
    </row>
    <row r="144" spans="1:16" x14ac:dyDescent="0.3">
      <c r="A144" s="10"/>
      <c r="B144" s="10"/>
      <c r="C144" t="s">
        <v>27</v>
      </c>
      <c r="D144">
        <v>3</v>
      </c>
      <c r="E144">
        <v>3</v>
      </c>
      <c r="F144">
        <v>1</v>
      </c>
      <c r="G144">
        <v>3</v>
      </c>
      <c r="H144">
        <v>3</v>
      </c>
      <c r="I144">
        <v>1</v>
      </c>
      <c r="J144">
        <v>3</v>
      </c>
      <c r="K144">
        <v>3</v>
      </c>
      <c r="L144">
        <v>1</v>
      </c>
      <c r="N144" s="4">
        <f t="shared" si="35"/>
        <v>3</v>
      </c>
      <c r="O144" s="4">
        <f t="shared" si="36"/>
        <v>3</v>
      </c>
      <c r="P144" s="4">
        <f t="shared" si="37"/>
        <v>1</v>
      </c>
    </row>
    <row r="145" spans="1:16" x14ac:dyDescent="0.3">
      <c r="A145" s="10"/>
      <c r="B145" s="10"/>
      <c r="C145" t="s">
        <v>28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2</v>
      </c>
      <c r="J145">
        <v>3</v>
      </c>
      <c r="K145">
        <v>2</v>
      </c>
      <c r="L145">
        <v>1</v>
      </c>
      <c r="N145" s="4">
        <f t="shared" si="35"/>
        <v>3</v>
      </c>
      <c r="O145" s="4">
        <f t="shared" si="36"/>
        <v>2.6666666666666665</v>
      </c>
      <c r="P145" s="4">
        <f t="shared" si="37"/>
        <v>2</v>
      </c>
    </row>
    <row r="146" spans="1:16" x14ac:dyDescent="0.3">
      <c r="A146" s="10"/>
      <c r="B146" s="10"/>
      <c r="C146" t="s">
        <v>30</v>
      </c>
      <c r="D146">
        <v>3</v>
      </c>
      <c r="E146">
        <v>3</v>
      </c>
      <c r="F146">
        <v>1</v>
      </c>
      <c r="G146">
        <v>3</v>
      </c>
      <c r="H146">
        <v>2</v>
      </c>
      <c r="I146">
        <v>1</v>
      </c>
      <c r="J146">
        <v>1</v>
      </c>
      <c r="K146">
        <v>2</v>
      </c>
      <c r="L146">
        <v>2</v>
      </c>
      <c r="N146" s="4">
        <f t="shared" si="35"/>
        <v>2.3333333333333335</v>
      </c>
      <c r="O146" s="4">
        <f t="shared" si="36"/>
        <v>2.3333333333333335</v>
      </c>
      <c r="P146" s="4">
        <f t="shared" si="37"/>
        <v>1.3333333333333333</v>
      </c>
    </row>
    <row r="147" spans="1:16" x14ac:dyDescent="0.3">
      <c r="A147" s="10"/>
      <c r="B147" s="10"/>
      <c r="C147" t="s">
        <v>31</v>
      </c>
      <c r="D147">
        <v>3</v>
      </c>
      <c r="E147">
        <v>2</v>
      </c>
      <c r="F147">
        <v>2</v>
      </c>
      <c r="G147">
        <v>3</v>
      </c>
      <c r="H147">
        <v>2</v>
      </c>
      <c r="I147">
        <v>2</v>
      </c>
      <c r="J147">
        <v>2</v>
      </c>
      <c r="K147">
        <v>2</v>
      </c>
      <c r="L147">
        <v>1</v>
      </c>
      <c r="N147" s="4">
        <f t="shared" si="35"/>
        <v>2.6666666666666665</v>
      </c>
      <c r="O147" s="4">
        <f t="shared" si="36"/>
        <v>2</v>
      </c>
      <c r="P147" s="4">
        <f t="shared" si="37"/>
        <v>1.6666666666666667</v>
      </c>
    </row>
    <row r="148" spans="1:16" x14ac:dyDescent="0.3">
      <c r="A148" s="10"/>
      <c r="B148" s="10"/>
      <c r="C148" t="s">
        <v>32</v>
      </c>
      <c r="D148">
        <v>3</v>
      </c>
      <c r="E148">
        <v>2</v>
      </c>
      <c r="F148">
        <v>1</v>
      </c>
      <c r="G148">
        <v>3</v>
      </c>
      <c r="H148">
        <v>2</v>
      </c>
      <c r="I148">
        <v>1</v>
      </c>
      <c r="J148">
        <v>2</v>
      </c>
      <c r="K148">
        <v>1</v>
      </c>
      <c r="L148">
        <v>1</v>
      </c>
      <c r="N148" s="4">
        <f t="shared" si="35"/>
        <v>2.6666666666666665</v>
      </c>
      <c r="O148" s="4">
        <f t="shared" si="36"/>
        <v>1.6666666666666667</v>
      </c>
      <c r="P148" s="4">
        <f t="shared" si="37"/>
        <v>1</v>
      </c>
    </row>
    <row r="149" spans="1:16" x14ac:dyDescent="0.3">
      <c r="A149" s="10">
        <v>22</v>
      </c>
      <c r="B149" s="10" t="s">
        <v>10</v>
      </c>
      <c r="C149" s="2" t="s">
        <v>25</v>
      </c>
      <c r="D149">
        <v>2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2</v>
      </c>
      <c r="K149">
        <v>2</v>
      </c>
      <c r="L149">
        <v>2</v>
      </c>
      <c r="N149" s="4">
        <f t="shared" si="35"/>
        <v>2.3333333333333335</v>
      </c>
      <c r="O149" s="4">
        <f t="shared" si="36"/>
        <v>2.3333333333333335</v>
      </c>
      <c r="P149" s="4">
        <f t="shared" si="37"/>
        <v>2.3333333333333335</v>
      </c>
    </row>
    <row r="150" spans="1:16" x14ac:dyDescent="0.3">
      <c r="A150" s="10"/>
      <c r="B150" s="10"/>
      <c r="C150" t="s">
        <v>26</v>
      </c>
      <c r="D150">
        <v>3</v>
      </c>
      <c r="E150">
        <v>3</v>
      </c>
      <c r="F150">
        <v>3</v>
      </c>
      <c r="G150">
        <v>3</v>
      </c>
      <c r="H150">
        <v>2</v>
      </c>
      <c r="I150">
        <v>3</v>
      </c>
      <c r="J150">
        <v>3</v>
      </c>
      <c r="K150">
        <v>2</v>
      </c>
      <c r="L150">
        <v>3</v>
      </c>
      <c r="N150" s="4">
        <f t="shared" si="35"/>
        <v>3</v>
      </c>
      <c r="O150" s="4">
        <f t="shared" si="36"/>
        <v>2.3333333333333335</v>
      </c>
      <c r="P150" s="4">
        <f t="shared" si="37"/>
        <v>3</v>
      </c>
    </row>
    <row r="151" spans="1:16" x14ac:dyDescent="0.3">
      <c r="A151" s="10"/>
      <c r="B151" s="10"/>
      <c r="C151" t="s">
        <v>27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2</v>
      </c>
      <c r="L151">
        <v>3</v>
      </c>
      <c r="N151" s="4">
        <f t="shared" si="35"/>
        <v>3</v>
      </c>
      <c r="O151" s="4">
        <f t="shared" si="36"/>
        <v>2.6666666666666665</v>
      </c>
      <c r="P151" s="4">
        <f t="shared" si="37"/>
        <v>3</v>
      </c>
    </row>
    <row r="152" spans="1:16" x14ac:dyDescent="0.3">
      <c r="A152" s="10"/>
      <c r="B152" s="10"/>
      <c r="C152" t="s">
        <v>28</v>
      </c>
      <c r="D152">
        <v>3</v>
      </c>
      <c r="E152">
        <v>3</v>
      </c>
      <c r="F152">
        <v>3</v>
      </c>
      <c r="G152">
        <v>3</v>
      </c>
      <c r="H152">
        <v>2</v>
      </c>
      <c r="I152">
        <v>3</v>
      </c>
      <c r="J152">
        <v>3</v>
      </c>
      <c r="K152">
        <v>1</v>
      </c>
      <c r="L152">
        <v>3</v>
      </c>
      <c r="N152" s="4">
        <f t="shared" si="35"/>
        <v>3</v>
      </c>
      <c r="O152" s="4">
        <f t="shared" si="36"/>
        <v>2</v>
      </c>
      <c r="P152" s="4">
        <f t="shared" si="37"/>
        <v>3</v>
      </c>
    </row>
    <row r="153" spans="1:16" x14ac:dyDescent="0.3">
      <c r="A153" s="10"/>
      <c r="B153" s="10"/>
      <c r="C153" t="s">
        <v>30</v>
      </c>
      <c r="D153">
        <v>3</v>
      </c>
      <c r="E153">
        <v>3</v>
      </c>
      <c r="F153">
        <v>1</v>
      </c>
      <c r="G153">
        <v>2</v>
      </c>
      <c r="H153">
        <v>2</v>
      </c>
      <c r="I153">
        <v>1</v>
      </c>
      <c r="J153">
        <v>3</v>
      </c>
      <c r="K153">
        <v>2</v>
      </c>
      <c r="L153">
        <v>1</v>
      </c>
      <c r="N153" s="4">
        <f t="shared" si="35"/>
        <v>2.6666666666666665</v>
      </c>
      <c r="O153" s="4">
        <f t="shared" si="36"/>
        <v>2.3333333333333335</v>
      </c>
      <c r="P153" s="4">
        <f t="shared" si="37"/>
        <v>1</v>
      </c>
    </row>
    <row r="154" spans="1:16" x14ac:dyDescent="0.3">
      <c r="A154" s="10"/>
      <c r="B154" s="10"/>
      <c r="C154" t="s">
        <v>31</v>
      </c>
      <c r="D154">
        <v>3</v>
      </c>
      <c r="E154">
        <v>1</v>
      </c>
      <c r="F154">
        <v>3</v>
      </c>
      <c r="G154">
        <v>3</v>
      </c>
      <c r="H154">
        <v>1</v>
      </c>
      <c r="I154">
        <v>3</v>
      </c>
      <c r="J154">
        <v>3</v>
      </c>
      <c r="K154">
        <v>1</v>
      </c>
      <c r="L154">
        <v>3</v>
      </c>
      <c r="N154" s="4">
        <f t="shared" si="35"/>
        <v>3</v>
      </c>
      <c r="O154" s="4">
        <f t="shared" si="36"/>
        <v>1</v>
      </c>
      <c r="P154" s="4">
        <f t="shared" si="37"/>
        <v>3</v>
      </c>
    </row>
    <row r="155" spans="1:16" x14ac:dyDescent="0.3">
      <c r="A155" s="10"/>
      <c r="B155" s="10"/>
      <c r="C155" t="s">
        <v>32</v>
      </c>
      <c r="D155">
        <v>3</v>
      </c>
      <c r="E155">
        <v>1</v>
      </c>
      <c r="F155">
        <v>3</v>
      </c>
      <c r="G155">
        <v>3</v>
      </c>
      <c r="H155">
        <v>1</v>
      </c>
      <c r="I155">
        <v>3</v>
      </c>
      <c r="J155">
        <v>3</v>
      </c>
      <c r="K155">
        <v>1</v>
      </c>
      <c r="L155">
        <v>2</v>
      </c>
      <c r="N155" s="4">
        <f t="shared" si="35"/>
        <v>3</v>
      </c>
      <c r="O155" s="4">
        <f t="shared" si="36"/>
        <v>1</v>
      </c>
      <c r="P155" s="4">
        <f t="shared" si="37"/>
        <v>2.6666666666666665</v>
      </c>
    </row>
    <row r="156" spans="1:16" x14ac:dyDescent="0.3">
      <c r="A156" s="10">
        <v>23</v>
      </c>
      <c r="B156" s="10" t="s">
        <v>12</v>
      </c>
      <c r="C156" s="2" t="s">
        <v>25</v>
      </c>
      <c r="D156">
        <v>2</v>
      </c>
      <c r="E156">
        <v>2</v>
      </c>
      <c r="F156">
        <v>2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N156" s="4">
        <f t="shared" si="35"/>
        <v>2.6666666666666665</v>
      </c>
      <c r="O156" s="4">
        <f t="shared" si="36"/>
        <v>2.6666666666666665</v>
      </c>
      <c r="P156" s="4">
        <f t="shared" si="37"/>
        <v>2.6666666666666665</v>
      </c>
    </row>
    <row r="157" spans="1:16" x14ac:dyDescent="0.3">
      <c r="A157" s="10"/>
      <c r="B157" s="10"/>
      <c r="C157" t="s">
        <v>26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N157" s="4">
        <f t="shared" si="35"/>
        <v>3</v>
      </c>
      <c r="O157" s="4">
        <f t="shared" si="36"/>
        <v>3</v>
      </c>
      <c r="P157" s="4">
        <f t="shared" si="37"/>
        <v>3</v>
      </c>
    </row>
    <row r="158" spans="1:16" x14ac:dyDescent="0.3">
      <c r="A158" s="10"/>
      <c r="B158" s="10"/>
      <c r="C158" t="s">
        <v>27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1</v>
      </c>
      <c r="L158">
        <v>3</v>
      </c>
      <c r="N158" s="4">
        <f t="shared" si="35"/>
        <v>3</v>
      </c>
      <c r="O158" s="4">
        <f t="shared" si="36"/>
        <v>2.3333333333333335</v>
      </c>
      <c r="P158" s="4">
        <f t="shared" si="37"/>
        <v>3</v>
      </c>
    </row>
    <row r="159" spans="1:16" x14ac:dyDescent="0.3">
      <c r="A159" s="10"/>
      <c r="B159" s="10"/>
      <c r="C159" t="s">
        <v>28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2</v>
      </c>
      <c r="K159">
        <v>3</v>
      </c>
      <c r="L159">
        <v>2</v>
      </c>
      <c r="N159" s="4">
        <f t="shared" si="35"/>
        <v>2.6666666666666665</v>
      </c>
      <c r="O159" s="4">
        <f t="shared" si="36"/>
        <v>3</v>
      </c>
      <c r="P159" s="4">
        <f t="shared" si="37"/>
        <v>2.6666666666666665</v>
      </c>
    </row>
    <row r="160" spans="1:16" x14ac:dyDescent="0.3">
      <c r="A160" s="10"/>
      <c r="B160" s="10"/>
      <c r="C160" t="s">
        <v>30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N160" s="4">
        <f t="shared" si="35"/>
        <v>3</v>
      </c>
      <c r="O160" s="4">
        <f t="shared" si="36"/>
        <v>3</v>
      </c>
      <c r="P160" s="4">
        <f t="shared" si="37"/>
        <v>3</v>
      </c>
    </row>
    <row r="161" spans="1:16" x14ac:dyDescent="0.3">
      <c r="A161" s="10"/>
      <c r="B161" s="10"/>
      <c r="C161" t="s">
        <v>31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3</v>
      </c>
      <c r="K161">
        <v>1</v>
      </c>
      <c r="L161">
        <v>3</v>
      </c>
      <c r="N161" s="4">
        <f t="shared" si="35"/>
        <v>2.3333333333333335</v>
      </c>
      <c r="O161" s="4">
        <f t="shared" si="36"/>
        <v>1.6666666666666667</v>
      </c>
      <c r="P161" s="4">
        <f t="shared" si="37"/>
        <v>2.3333333333333335</v>
      </c>
    </row>
    <row r="162" spans="1:16" x14ac:dyDescent="0.3">
      <c r="A162" s="10"/>
      <c r="B162" s="10"/>
      <c r="C162" t="s">
        <v>32</v>
      </c>
      <c r="D162">
        <v>3</v>
      </c>
      <c r="E162">
        <v>2</v>
      </c>
      <c r="F162">
        <v>3</v>
      </c>
      <c r="G162">
        <v>3</v>
      </c>
      <c r="H162">
        <v>2</v>
      </c>
      <c r="I162">
        <v>3</v>
      </c>
      <c r="J162">
        <v>3</v>
      </c>
      <c r="K162">
        <v>1</v>
      </c>
      <c r="L162">
        <v>3</v>
      </c>
      <c r="N162" s="4">
        <f t="shared" si="35"/>
        <v>3</v>
      </c>
      <c r="O162" s="4">
        <f t="shared" si="36"/>
        <v>1.6666666666666667</v>
      </c>
      <c r="P162" s="4">
        <f t="shared" si="37"/>
        <v>3</v>
      </c>
    </row>
    <row r="163" spans="1:16" x14ac:dyDescent="0.3">
      <c r="A163" s="10">
        <v>24</v>
      </c>
      <c r="B163" s="10" t="s">
        <v>14</v>
      </c>
      <c r="C163" s="2" t="s">
        <v>25</v>
      </c>
      <c r="D163">
        <v>2</v>
      </c>
      <c r="E163">
        <v>2</v>
      </c>
      <c r="F163">
        <v>2</v>
      </c>
      <c r="G163">
        <v>3</v>
      </c>
      <c r="H163">
        <v>3</v>
      </c>
      <c r="I163">
        <v>3</v>
      </c>
      <c r="J163">
        <v>2</v>
      </c>
      <c r="K163">
        <v>2</v>
      </c>
      <c r="L163">
        <v>2</v>
      </c>
      <c r="N163" s="4">
        <f t="shared" si="35"/>
        <v>2.3333333333333335</v>
      </c>
      <c r="O163" s="4">
        <f t="shared" si="36"/>
        <v>2.3333333333333335</v>
      </c>
      <c r="P163" s="4">
        <f t="shared" si="37"/>
        <v>2.3333333333333335</v>
      </c>
    </row>
    <row r="164" spans="1:16" x14ac:dyDescent="0.3">
      <c r="A164" s="10"/>
      <c r="B164" s="10"/>
      <c r="C164" t="s">
        <v>26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N164" s="4">
        <f t="shared" si="35"/>
        <v>3</v>
      </c>
      <c r="O164" s="4">
        <f t="shared" si="36"/>
        <v>3</v>
      </c>
      <c r="P164" s="4">
        <f t="shared" si="37"/>
        <v>3</v>
      </c>
    </row>
    <row r="165" spans="1:16" x14ac:dyDescent="0.3">
      <c r="A165" s="10"/>
      <c r="B165" s="10"/>
      <c r="C165" t="s">
        <v>27</v>
      </c>
      <c r="D165">
        <v>3</v>
      </c>
      <c r="E165">
        <v>2</v>
      </c>
      <c r="F165">
        <v>3</v>
      </c>
      <c r="G165">
        <v>3</v>
      </c>
      <c r="H165">
        <v>3</v>
      </c>
      <c r="I165">
        <v>3</v>
      </c>
      <c r="J165">
        <v>1</v>
      </c>
      <c r="K165">
        <v>3</v>
      </c>
      <c r="L165">
        <v>3</v>
      </c>
      <c r="N165" s="4">
        <f t="shared" si="35"/>
        <v>2.3333333333333335</v>
      </c>
      <c r="O165" s="4">
        <f t="shared" si="36"/>
        <v>2.6666666666666665</v>
      </c>
      <c r="P165" s="4">
        <f t="shared" si="37"/>
        <v>3</v>
      </c>
    </row>
    <row r="166" spans="1:16" x14ac:dyDescent="0.3">
      <c r="A166" s="10"/>
      <c r="B166" s="10"/>
      <c r="C166" t="s">
        <v>28</v>
      </c>
      <c r="D166">
        <v>3</v>
      </c>
      <c r="E166">
        <v>3</v>
      </c>
      <c r="F166">
        <v>3</v>
      </c>
      <c r="G166">
        <v>3</v>
      </c>
      <c r="H166">
        <v>2</v>
      </c>
      <c r="I166">
        <v>3</v>
      </c>
      <c r="J166">
        <v>3</v>
      </c>
      <c r="K166">
        <v>3</v>
      </c>
      <c r="L166">
        <v>2</v>
      </c>
      <c r="N166" s="4">
        <f t="shared" si="35"/>
        <v>3</v>
      </c>
      <c r="O166" s="4">
        <f t="shared" si="36"/>
        <v>2.6666666666666665</v>
      </c>
      <c r="P166" s="4">
        <f t="shared" si="37"/>
        <v>2.6666666666666665</v>
      </c>
    </row>
    <row r="167" spans="1:16" x14ac:dyDescent="0.3">
      <c r="A167" s="10"/>
      <c r="B167" s="10"/>
      <c r="C167" t="s">
        <v>30</v>
      </c>
      <c r="D167">
        <v>3</v>
      </c>
      <c r="E167">
        <v>3</v>
      </c>
      <c r="F167">
        <v>1</v>
      </c>
      <c r="G167">
        <v>3</v>
      </c>
      <c r="H167">
        <v>3</v>
      </c>
      <c r="I167">
        <v>2</v>
      </c>
      <c r="J167">
        <v>3</v>
      </c>
      <c r="K167">
        <v>2</v>
      </c>
      <c r="L167">
        <v>2</v>
      </c>
      <c r="N167" s="4">
        <f t="shared" si="35"/>
        <v>3</v>
      </c>
      <c r="O167" s="4">
        <f t="shared" si="36"/>
        <v>2.6666666666666665</v>
      </c>
      <c r="P167" s="4">
        <f t="shared" si="37"/>
        <v>1.6666666666666667</v>
      </c>
    </row>
    <row r="168" spans="1:16" x14ac:dyDescent="0.3">
      <c r="A168" s="10"/>
      <c r="B168" s="10"/>
      <c r="C168" t="s">
        <v>31</v>
      </c>
      <c r="D168">
        <v>2</v>
      </c>
      <c r="E168">
        <v>1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3</v>
      </c>
      <c r="N168" s="4">
        <f t="shared" si="35"/>
        <v>2</v>
      </c>
      <c r="O168" s="4">
        <f t="shared" si="36"/>
        <v>1.3333333333333333</v>
      </c>
      <c r="P168" s="4">
        <f t="shared" si="37"/>
        <v>2.3333333333333335</v>
      </c>
    </row>
    <row r="169" spans="1:16" x14ac:dyDescent="0.3">
      <c r="A169" s="10"/>
      <c r="B169" s="10"/>
      <c r="C169" t="s">
        <v>32</v>
      </c>
      <c r="D169">
        <v>3</v>
      </c>
      <c r="E169">
        <v>3</v>
      </c>
      <c r="F169">
        <v>2</v>
      </c>
      <c r="G169">
        <v>3</v>
      </c>
      <c r="H169">
        <v>2</v>
      </c>
      <c r="I169">
        <v>1</v>
      </c>
      <c r="J169">
        <v>1</v>
      </c>
      <c r="K169">
        <v>1</v>
      </c>
      <c r="L169">
        <v>1</v>
      </c>
      <c r="N169" s="4">
        <f t="shared" si="35"/>
        <v>2.3333333333333335</v>
      </c>
      <c r="O169" s="4">
        <f t="shared" si="36"/>
        <v>2</v>
      </c>
      <c r="P169" s="4">
        <f t="shared" si="37"/>
        <v>1.3333333333333333</v>
      </c>
    </row>
    <row r="170" spans="1:16" x14ac:dyDescent="0.3">
      <c r="A170" s="10">
        <v>25</v>
      </c>
      <c r="B170" s="10" t="s">
        <v>39</v>
      </c>
      <c r="C170" s="2" t="s">
        <v>25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  <c r="N170" s="4">
        <f t="shared" si="35"/>
        <v>3</v>
      </c>
      <c r="O170" s="4">
        <f t="shared" si="36"/>
        <v>3</v>
      </c>
      <c r="P170" s="4">
        <f t="shared" si="37"/>
        <v>3</v>
      </c>
    </row>
    <row r="171" spans="1:16" x14ac:dyDescent="0.3">
      <c r="A171" s="10"/>
      <c r="B171" s="10"/>
      <c r="C171" t="s">
        <v>26</v>
      </c>
      <c r="D171">
        <v>3</v>
      </c>
      <c r="E171">
        <v>3</v>
      </c>
      <c r="F171">
        <v>2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  <c r="N171" s="4">
        <f t="shared" si="35"/>
        <v>3</v>
      </c>
      <c r="O171" s="4">
        <f t="shared" si="36"/>
        <v>3</v>
      </c>
      <c r="P171" s="4">
        <f t="shared" si="37"/>
        <v>2.6666666666666665</v>
      </c>
    </row>
    <row r="172" spans="1:16" x14ac:dyDescent="0.3">
      <c r="A172" s="10"/>
      <c r="B172" s="10"/>
      <c r="C172" t="s">
        <v>27</v>
      </c>
      <c r="D172">
        <v>2</v>
      </c>
      <c r="E172">
        <v>1</v>
      </c>
      <c r="F172">
        <v>2</v>
      </c>
      <c r="G172">
        <v>2</v>
      </c>
      <c r="H172">
        <v>3</v>
      </c>
      <c r="I172">
        <v>2</v>
      </c>
      <c r="J172">
        <v>1</v>
      </c>
      <c r="K172">
        <v>3</v>
      </c>
      <c r="L172">
        <v>3</v>
      </c>
      <c r="N172" s="4">
        <f t="shared" si="35"/>
        <v>1.6666666666666667</v>
      </c>
      <c r="O172" s="4">
        <f t="shared" si="36"/>
        <v>2.3333333333333335</v>
      </c>
      <c r="P172" s="4">
        <f t="shared" si="37"/>
        <v>2.3333333333333335</v>
      </c>
    </row>
    <row r="173" spans="1:16" x14ac:dyDescent="0.3">
      <c r="A173" s="10"/>
      <c r="B173" s="10"/>
      <c r="C173" t="s">
        <v>28</v>
      </c>
      <c r="D173">
        <v>3</v>
      </c>
      <c r="E173">
        <v>2</v>
      </c>
      <c r="F173">
        <v>3</v>
      </c>
      <c r="G173">
        <v>2</v>
      </c>
      <c r="H173">
        <v>2</v>
      </c>
      <c r="I173">
        <v>2</v>
      </c>
      <c r="J173">
        <v>3</v>
      </c>
      <c r="K173">
        <v>2</v>
      </c>
      <c r="L173">
        <v>3</v>
      </c>
      <c r="N173" s="4">
        <f t="shared" si="35"/>
        <v>2.6666666666666665</v>
      </c>
      <c r="O173" s="4">
        <f t="shared" si="36"/>
        <v>2</v>
      </c>
      <c r="P173" s="4">
        <f t="shared" si="37"/>
        <v>2.6666666666666665</v>
      </c>
    </row>
    <row r="174" spans="1:16" x14ac:dyDescent="0.3">
      <c r="A174" s="10"/>
      <c r="B174" s="10"/>
      <c r="C174" t="s">
        <v>30</v>
      </c>
      <c r="D174">
        <v>2</v>
      </c>
      <c r="E174">
        <v>3</v>
      </c>
      <c r="F174">
        <v>1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1</v>
      </c>
      <c r="N174" s="4">
        <f t="shared" si="35"/>
        <v>1.6666666666666667</v>
      </c>
      <c r="O174" s="4">
        <f t="shared" si="36"/>
        <v>2.3333333333333335</v>
      </c>
      <c r="P174" s="4">
        <f t="shared" si="37"/>
        <v>1</v>
      </c>
    </row>
    <row r="175" spans="1:16" x14ac:dyDescent="0.3">
      <c r="A175" s="10"/>
      <c r="B175" s="10"/>
      <c r="C175" t="s">
        <v>31</v>
      </c>
      <c r="D175">
        <v>1</v>
      </c>
      <c r="E175">
        <v>1</v>
      </c>
      <c r="F175">
        <v>2</v>
      </c>
      <c r="G175">
        <v>1</v>
      </c>
      <c r="H175">
        <v>2</v>
      </c>
      <c r="I175">
        <v>2</v>
      </c>
      <c r="J175">
        <v>0</v>
      </c>
      <c r="K175">
        <v>1</v>
      </c>
      <c r="L175">
        <v>2</v>
      </c>
      <c r="N175" s="4">
        <f t="shared" si="35"/>
        <v>0.66666666666666663</v>
      </c>
      <c r="O175" s="4">
        <f t="shared" si="36"/>
        <v>1.3333333333333333</v>
      </c>
      <c r="P175" s="4">
        <f t="shared" si="37"/>
        <v>2</v>
      </c>
    </row>
    <row r="176" spans="1:16" x14ac:dyDescent="0.3">
      <c r="A176" s="10"/>
      <c r="B176" s="10"/>
      <c r="C176" t="s">
        <v>32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0</v>
      </c>
      <c r="K176">
        <v>2</v>
      </c>
      <c r="L176">
        <v>1</v>
      </c>
      <c r="N176" s="4">
        <f t="shared" si="35"/>
        <v>1.3333333333333333</v>
      </c>
      <c r="O176" s="4">
        <f t="shared" si="36"/>
        <v>2</v>
      </c>
      <c r="P176" s="4">
        <f t="shared" si="37"/>
        <v>1.6666666666666667</v>
      </c>
    </row>
    <row r="177" spans="1:16" x14ac:dyDescent="0.3">
      <c r="A177" s="10">
        <v>26</v>
      </c>
      <c r="B177" s="10" t="s">
        <v>17</v>
      </c>
      <c r="C177" s="2" t="s">
        <v>25</v>
      </c>
      <c r="D177">
        <v>1</v>
      </c>
      <c r="E177">
        <v>1</v>
      </c>
      <c r="F177">
        <v>1</v>
      </c>
      <c r="G177">
        <v>2</v>
      </c>
      <c r="H177">
        <v>2</v>
      </c>
      <c r="I177">
        <v>2</v>
      </c>
      <c r="J177">
        <v>1</v>
      </c>
      <c r="K177">
        <v>1</v>
      </c>
      <c r="L177">
        <v>1</v>
      </c>
      <c r="N177" s="4">
        <f t="shared" si="35"/>
        <v>1.3333333333333333</v>
      </c>
      <c r="O177" s="4">
        <f t="shared" si="36"/>
        <v>1.3333333333333333</v>
      </c>
      <c r="P177" s="4">
        <f t="shared" si="37"/>
        <v>1.3333333333333333</v>
      </c>
    </row>
    <row r="178" spans="1:16" x14ac:dyDescent="0.3">
      <c r="A178" s="10"/>
      <c r="B178" s="10"/>
      <c r="C178" t="s">
        <v>26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N178" s="4">
        <f t="shared" si="35"/>
        <v>3</v>
      </c>
      <c r="O178" s="4">
        <f t="shared" si="36"/>
        <v>3</v>
      </c>
      <c r="P178" s="4">
        <f t="shared" si="37"/>
        <v>3</v>
      </c>
    </row>
    <row r="179" spans="1:16" x14ac:dyDescent="0.3">
      <c r="A179" s="10"/>
      <c r="B179" s="10"/>
      <c r="C179" t="s">
        <v>27</v>
      </c>
      <c r="D179">
        <v>1</v>
      </c>
      <c r="E179">
        <v>3</v>
      </c>
      <c r="F179">
        <v>1</v>
      </c>
      <c r="G179">
        <v>1</v>
      </c>
      <c r="H179">
        <v>3</v>
      </c>
      <c r="I179">
        <v>1</v>
      </c>
      <c r="J179">
        <v>1</v>
      </c>
      <c r="K179">
        <v>3</v>
      </c>
      <c r="L179">
        <v>1</v>
      </c>
      <c r="N179" s="4">
        <f t="shared" si="35"/>
        <v>1</v>
      </c>
      <c r="O179" s="4">
        <f t="shared" si="36"/>
        <v>3</v>
      </c>
      <c r="P179" s="4">
        <f t="shared" si="37"/>
        <v>1</v>
      </c>
    </row>
    <row r="180" spans="1:16" x14ac:dyDescent="0.3">
      <c r="A180" s="10"/>
      <c r="B180" s="10"/>
      <c r="C180" t="s">
        <v>28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3</v>
      </c>
      <c r="K180">
        <v>3</v>
      </c>
      <c r="L180">
        <v>3</v>
      </c>
      <c r="N180" s="4">
        <f t="shared" si="35"/>
        <v>3</v>
      </c>
      <c r="O180" s="4">
        <f t="shared" si="36"/>
        <v>3</v>
      </c>
      <c r="P180" s="4">
        <f t="shared" si="37"/>
        <v>3</v>
      </c>
    </row>
    <row r="181" spans="1:16" x14ac:dyDescent="0.3">
      <c r="A181" s="10"/>
      <c r="B181" s="10"/>
      <c r="C181" t="s">
        <v>30</v>
      </c>
      <c r="D181">
        <v>2</v>
      </c>
      <c r="E181">
        <v>3</v>
      </c>
      <c r="F181">
        <v>2</v>
      </c>
      <c r="G181">
        <v>2</v>
      </c>
      <c r="H181">
        <v>3</v>
      </c>
      <c r="I181">
        <v>2</v>
      </c>
      <c r="J181">
        <v>2</v>
      </c>
      <c r="K181">
        <v>3</v>
      </c>
      <c r="L181">
        <v>1</v>
      </c>
      <c r="N181" s="4">
        <f t="shared" si="35"/>
        <v>2</v>
      </c>
      <c r="O181" s="4">
        <f t="shared" si="36"/>
        <v>3</v>
      </c>
      <c r="P181" s="4">
        <f t="shared" si="37"/>
        <v>1.6666666666666667</v>
      </c>
    </row>
    <row r="182" spans="1:16" x14ac:dyDescent="0.3">
      <c r="A182" s="10"/>
      <c r="B182" s="10"/>
      <c r="C182" t="s">
        <v>31</v>
      </c>
      <c r="D182">
        <v>3</v>
      </c>
      <c r="E182">
        <v>3</v>
      </c>
      <c r="F182">
        <v>3</v>
      </c>
      <c r="G182">
        <v>3</v>
      </c>
      <c r="H182">
        <v>1</v>
      </c>
      <c r="I182">
        <v>3</v>
      </c>
      <c r="J182">
        <v>1</v>
      </c>
      <c r="K182">
        <v>3</v>
      </c>
      <c r="L182">
        <v>2</v>
      </c>
      <c r="N182" s="4">
        <f t="shared" si="35"/>
        <v>2.3333333333333335</v>
      </c>
      <c r="O182" s="4">
        <f t="shared" si="36"/>
        <v>2.3333333333333335</v>
      </c>
      <c r="P182" s="4">
        <f t="shared" si="37"/>
        <v>2.6666666666666665</v>
      </c>
    </row>
    <row r="183" spans="1:16" x14ac:dyDescent="0.3">
      <c r="A183" s="10"/>
      <c r="B183" s="10"/>
      <c r="C183" t="s">
        <v>32</v>
      </c>
      <c r="D183">
        <v>1</v>
      </c>
      <c r="E183">
        <v>3</v>
      </c>
      <c r="F183">
        <v>1</v>
      </c>
      <c r="G183">
        <v>1</v>
      </c>
      <c r="H183">
        <v>2</v>
      </c>
      <c r="I183">
        <v>1</v>
      </c>
      <c r="J183">
        <v>1</v>
      </c>
      <c r="K183">
        <v>3</v>
      </c>
      <c r="L183">
        <v>1</v>
      </c>
      <c r="N183" s="4">
        <f t="shared" si="35"/>
        <v>1</v>
      </c>
      <c r="O183" s="4">
        <f t="shared" si="36"/>
        <v>2.6666666666666665</v>
      </c>
      <c r="P183" s="4">
        <f t="shared" si="37"/>
        <v>1</v>
      </c>
    </row>
    <row r="184" spans="1:16" x14ac:dyDescent="0.3">
      <c r="A184" s="10">
        <v>27</v>
      </c>
      <c r="B184" s="10" t="s">
        <v>19</v>
      </c>
      <c r="C184" s="2" t="s">
        <v>25</v>
      </c>
      <c r="D184">
        <v>2</v>
      </c>
      <c r="E184">
        <v>2</v>
      </c>
      <c r="F184">
        <v>2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N184" s="4">
        <f t="shared" si="35"/>
        <v>2.6666666666666665</v>
      </c>
      <c r="O184" s="4">
        <f t="shared" si="36"/>
        <v>2.6666666666666665</v>
      </c>
      <c r="P184" s="4">
        <f t="shared" si="37"/>
        <v>2.6666666666666665</v>
      </c>
    </row>
    <row r="185" spans="1:16" x14ac:dyDescent="0.3">
      <c r="A185" s="10"/>
      <c r="B185" s="10"/>
      <c r="C185" t="s">
        <v>26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N185" s="4">
        <f t="shared" si="35"/>
        <v>3</v>
      </c>
      <c r="O185" s="4">
        <f t="shared" si="36"/>
        <v>3</v>
      </c>
      <c r="P185" s="4">
        <f t="shared" si="37"/>
        <v>3</v>
      </c>
    </row>
    <row r="186" spans="1:16" x14ac:dyDescent="0.3">
      <c r="A186" s="10"/>
      <c r="B186" s="10"/>
      <c r="C186" t="s">
        <v>27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N186" s="4">
        <f t="shared" si="35"/>
        <v>3</v>
      </c>
      <c r="O186" s="4">
        <f t="shared" si="36"/>
        <v>3</v>
      </c>
      <c r="P186" s="4">
        <f t="shared" si="37"/>
        <v>3</v>
      </c>
    </row>
    <row r="187" spans="1:16" x14ac:dyDescent="0.3">
      <c r="A187" s="10"/>
      <c r="B187" s="10"/>
      <c r="C187" t="s">
        <v>28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2</v>
      </c>
      <c r="L187">
        <v>3</v>
      </c>
      <c r="N187" s="4">
        <f t="shared" si="35"/>
        <v>3</v>
      </c>
      <c r="O187" s="4">
        <f t="shared" si="36"/>
        <v>2.6666666666666665</v>
      </c>
      <c r="P187" s="4">
        <f t="shared" si="37"/>
        <v>3</v>
      </c>
    </row>
    <row r="188" spans="1:16" x14ac:dyDescent="0.3">
      <c r="A188" s="10"/>
      <c r="B188" s="10"/>
      <c r="C188" t="s">
        <v>30</v>
      </c>
      <c r="D188">
        <v>2</v>
      </c>
      <c r="E188">
        <v>3</v>
      </c>
      <c r="F188">
        <v>2</v>
      </c>
      <c r="G188">
        <v>3</v>
      </c>
      <c r="H188">
        <v>3</v>
      </c>
      <c r="I188">
        <v>3</v>
      </c>
      <c r="J188">
        <v>2</v>
      </c>
      <c r="K188">
        <v>3</v>
      </c>
      <c r="L188">
        <v>1</v>
      </c>
      <c r="N188" s="4">
        <f t="shared" si="35"/>
        <v>2.3333333333333335</v>
      </c>
      <c r="O188" s="4">
        <f t="shared" si="36"/>
        <v>3</v>
      </c>
      <c r="P188" s="4">
        <f t="shared" si="37"/>
        <v>2</v>
      </c>
    </row>
    <row r="189" spans="1:16" x14ac:dyDescent="0.3">
      <c r="A189" s="10"/>
      <c r="B189" s="10"/>
      <c r="C189" t="s">
        <v>31</v>
      </c>
      <c r="D189">
        <v>3</v>
      </c>
      <c r="E189">
        <v>3</v>
      </c>
      <c r="F189">
        <v>3</v>
      </c>
      <c r="G189">
        <v>3</v>
      </c>
      <c r="H189">
        <v>1</v>
      </c>
      <c r="I189">
        <v>3</v>
      </c>
      <c r="J189">
        <v>2</v>
      </c>
      <c r="K189">
        <v>2</v>
      </c>
      <c r="L189">
        <v>3</v>
      </c>
      <c r="N189" s="4">
        <f t="shared" si="35"/>
        <v>2.6666666666666665</v>
      </c>
      <c r="O189" s="4">
        <f t="shared" si="36"/>
        <v>2</v>
      </c>
      <c r="P189" s="4">
        <f t="shared" si="37"/>
        <v>3</v>
      </c>
    </row>
    <row r="190" spans="1:16" x14ac:dyDescent="0.3">
      <c r="A190" s="10"/>
      <c r="B190" s="10"/>
      <c r="C190" t="s">
        <v>32</v>
      </c>
      <c r="D190">
        <v>3</v>
      </c>
      <c r="E190">
        <v>2</v>
      </c>
      <c r="F190">
        <v>3</v>
      </c>
      <c r="G190">
        <v>3</v>
      </c>
      <c r="H190">
        <v>2</v>
      </c>
      <c r="I190">
        <v>3</v>
      </c>
      <c r="J190">
        <v>2</v>
      </c>
      <c r="K190">
        <v>2</v>
      </c>
      <c r="L190">
        <v>2</v>
      </c>
      <c r="N190" s="4">
        <f t="shared" si="35"/>
        <v>2.6666666666666665</v>
      </c>
      <c r="O190" s="4">
        <f t="shared" si="36"/>
        <v>2</v>
      </c>
      <c r="P190" s="4">
        <f t="shared" si="37"/>
        <v>2.6666666666666665</v>
      </c>
    </row>
    <row r="191" spans="1:16" x14ac:dyDescent="0.3">
      <c r="A191" s="10">
        <v>28</v>
      </c>
      <c r="B191" s="10" t="s">
        <v>21</v>
      </c>
      <c r="C191" s="2" t="s">
        <v>25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N191" s="4">
        <f t="shared" si="35"/>
        <v>2</v>
      </c>
      <c r="O191" s="4">
        <f t="shared" si="36"/>
        <v>2</v>
      </c>
      <c r="P191" s="4">
        <f t="shared" si="37"/>
        <v>2</v>
      </c>
    </row>
    <row r="192" spans="1:16" x14ac:dyDescent="0.3">
      <c r="A192" s="10"/>
      <c r="B192" s="10"/>
      <c r="C192" t="s">
        <v>26</v>
      </c>
      <c r="D192">
        <v>3</v>
      </c>
      <c r="E192">
        <v>2</v>
      </c>
      <c r="F192">
        <v>2</v>
      </c>
      <c r="G192">
        <v>3</v>
      </c>
      <c r="H192">
        <v>2</v>
      </c>
      <c r="I192">
        <v>2</v>
      </c>
      <c r="J192">
        <v>3</v>
      </c>
      <c r="K192">
        <v>3</v>
      </c>
      <c r="L192">
        <v>3</v>
      </c>
      <c r="N192" s="4">
        <f t="shared" si="35"/>
        <v>3</v>
      </c>
      <c r="O192" s="4">
        <f t="shared" si="36"/>
        <v>2.3333333333333335</v>
      </c>
      <c r="P192" s="4">
        <f t="shared" si="37"/>
        <v>2.3333333333333335</v>
      </c>
    </row>
    <row r="193" spans="1:16" x14ac:dyDescent="0.3">
      <c r="A193" s="10"/>
      <c r="B193" s="10"/>
      <c r="C193" t="s">
        <v>27</v>
      </c>
      <c r="D193">
        <v>3</v>
      </c>
      <c r="E193">
        <v>3</v>
      </c>
      <c r="F193">
        <v>3</v>
      </c>
      <c r="G193">
        <v>2</v>
      </c>
      <c r="H193">
        <v>3</v>
      </c>
      <c r="I193">
        <v>3</v>
      </c>
      <c r="J193">
        <v>3</v>
      </c>
      <c r="K193">
        <v>3</v>
      </c>
      <c r="L193">
        <v>2</v>
      </c>
      <c r="N193" s="4">
        <f t="shared" si="35"/>
        <v>2.6666666666666665</v>
      </c>
      <c r="O193" s="4">
        <f t="shared" si="36"/>
        <v>3</v>
      </c>
      <c r="P193" s="4">
        <f t="shared" si="37"/>
        <v>2.6666666666666665</v>
      </c>
    </row>
    <row r="194" spans="1:16" x14ac:dyDescent="0.3">
      <c r="A194" s="10"/>
      <c r="B194" s="10"/>
      <c r="C194" t="s">
        <v>28</v>
      </c>
      <c r="D194">
        <v>3</v>
      </c>
      <c r="E194">
        <v>3</v>
      </c>
      <c r="F194">
        <v>3</v>
      </c>
      <c r="G194">
        <v>2</v>
      </c>
      <c r="H194">
        <v>3</v>
      </c>
      <c r="I194">
        <v>2</v>
      </c>
      <c r="J194">
        <v>3</v>
      </c>
      <c r="K194">
        <v>3</v>
      </c>
      <c r="L194">
        <v>2</v>
      </c>
      <c r="N194" s="4">
        <f t="shared" si="35"/>
        <v>2.6666666666666665</v>
      </c>
      <c r="O194" s="4">
        <f t="shared" si="36"/>
        <v>3</v>
      </c>
      <c r="P194" s="4">
        <f t="shared" si="37"/>
        <v>2.3333333333333335</v>
      </c>
    </row>
    <row r="195" spans="1:16" x14ac:dyDescent="0.3">
      <c r="A195" s="10"/>
      <c r="B195" s="10"/>
      <c r="C195" t="s">
        <v>30</v>
      </c>
      <c r="D195">
        <v>1</v>
      </c>
      <c r="E195">
        <v>3</v>
      </c>
      <c r="F195">
        <v>1</v>
      </c>
      <c r="G195">
        <v>2</v>
      </c>
      <c r="H195">
        <v>3</v>
      </c>
      <c r="I195">
        <v>1</v>
      </c>
      <c r="J195">
        <v>1</v>
      </c>
      <c r="K195">
        <v>3</v>
      </c>
      <c r="L195">
        <v>1</v>
      </c>
      <c r="N195" s="4">
        <f t="shared" si="35"/>
        <v>1.3333333333333333</v>
      </c>
      <c r="O195" s="4">
        <f t="shared" si="36"/>
        <v>3</v>
      </c>
      <c r="P195" s="4">
        <f t="shared" si="37"/>
        <v>1</v>
      </c>
    </row>
    <row r="196" spans="1:16" x14ac:dyDescent="0.3">
      <c r="A196" s="10"/>
      <c r="B196" s="10"/>
      <c r="C196" t="s">
        <v>31</v>
      </c>
      <c r="D196">
        <v>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  <c r="K196">
        <v>3</v>
      </c>
      <c r="L196">
        <v>2</v>
      </c>
      <c r="N196" s="4">
        <f t="shared" si="35"/>
        <v>1</v>
      </c>
      <c r="O196" s="4">
        <f t="shared" si="36"/>
        <v>2.3333333333333335</v>
      </c>
      <c r="P196" s="4">
        <f t="shared" si="37"/>
        <v>2</v>
      </c>
    </row>
    <row r="197" spans="1:16" x14ac:dyDescent="0.3">
      <c r="A197" s="10"/>
      <c r="B197" s="10"/>
      <c r="C197" t="s">
        <v>32</v>
      </c>
      <c r="D197">
        <v>1</v>
      </c>
      <c r="E197">
        <v>2</v>
      </c>
      <c r="F197">
        <v>2</v>
      </c>
      <c r="G197">
        <v>0</v>
      </c>
      <c r="H197">
        <v>2</v>
      </c>
      <c r="I197">
        <v>2</v>
      </c>
      <c r="J197">
        <v>1</v>
      </c>
      <c r="K197">
        <v>3</v>
      </c>
      <c r="L197">
        <v>1</v>
      </c>
      <c r="N197" s="4">
        <f t="shared" si="35"/>
        <v>0.66666666666666663</v>
      </c>
      <c r="O197" s="4">
        <f t="shared" si="36"/>
        <v>2.3333333333333335</v>
      </c>
      <c r="P197" s="4">
        <f t="shared" si="37"/>
        <v>1.6666666666666667</v>
      </c>
    </row>
    <row r="198" spans="1:16" x14ac:dyDescent="0.3">
      <c r="A198" s="10">
        <v>29</v>
      </c>
      <c r="B198" s="10" t="s">
        <v>23</v>
      </c>
      <c r="C198" s="2" t="s">
        <v>25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N198" s="4">
        <f t="shared" si="35"/>
        <v>3</v>
      </c>
      <c r="O198" s="4">
        <f t="shared" si="36"/>
        <v>3</v>
      </c>
      <c r="P198" s="4">
        <f t="shared" si="37"/>
        <v>3</v>
      </c>
    </row>
    <row r="199" spans="1:16" x14ac:dyDescent="0.3">
      <c r="A199" s="10"/>
      <c r="B199" s="10"/>
      <c r="C199" t="s">
        <v>26</v>
      </c>
      <c r="D199">
        <v>1</v>
      </c>
      <c r="E199">
        <v>2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3</v>
      </c>
      <c r="L199">
        <v>3</v>
      </c>
      <c r="N199" s="4">
        <f t="shared" si="35"/>
        <v>1.3333333333333333</v>
      </c>
      <c r="O199" s="4">
        <f t="shared" si="36"/>
        <v>2.3333333333333335</v>
      </c>
      <c r="P199" s="4">
        <f t="shared" si="37"/>
        <v>1.6666666666666667</v>
      </c>
    </row>
    <row r="200" spans="1:16" x14ac:dyDescent="0.3">
      <c r="A200" s="10"/>
      <c r="B200" s="10"/>
      <c r="C200" t="s">
        <v>27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3</v>
      </c>
      <c r="K200">
        <v>3</v>
      </c>
      <c r="L200">
        <v>3</v>
      </c>
      <c r="N200" s="4">
        <f t="shared" si="35"/>
        <v>2.3333333333333335</v>
      </c>
      <c r="O200" s="4">
        <f t="shared" si="36"/>
        <v>2.3333333333333335</v>
      </c>
      <c r="P200" s="4">
        <f t="shared" si="37"/>
        <v>2.3333333333333335</v>
      </c>
    </row>
    <row r="201" spans="1:16" x14ac:dyDescent="0.3">
      <c r="A201" s="10"/>
      <c r="B201" s="10"/>
      <c r="C201" t="s">
        <v>28</v>
      </c>
      <c r="D201">
        <v>3</v>
      </c>
      <c r="E201">
        <v>2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N201" s="4">
        <f t="shared" si="35"/>
        <v>3</v>
      </c>
      <c r="O201" s="4">
        <f t="shared" si="36"/>
        <v>2.6666666666666665</v>
      </c>
      <c r="P201" s="4">
        <f t="shared" si="37"/>
        <v>3</v>
      </c>
    </row>
    <row r="202" spans="1:16" x14ac:dyDescent="0.3">
      <c r="A202" s="10"/>
      <c r="B202" s="10"/>
      <c r="C202" t="s">
        <v>30</v>
      </c>
      <c r="D202">
        <v>3</v>
      </c>
      <c r="E202">
        <v>2</v>
      </c>
      <c r="F202">
        <v>1</v>
      </c>
      <c r="G202">
        <v>2</v>
      </c>
      <c r="H202">
        <v>3</v>
      </c>
      <c r="I202">
        <v>1</v>
      </c>
      <c r="J202">
        <v>2</v>
      </c>
      <c r="K202">
        <v>3</v>
      </c>
      <c r="L202">
        <v>1</v>
      </c>
      <c r="N202" s="4">
        <f t="shared" ref="N202:N211" si="38">AVERAGE(D202,G202,J202)</f>
        <v>2.3333333333333335</v>
      </c>
      <c r="O202" s="4">
        <f t="shared" ref="O202:O211" si="39">AVERAGE(E202,H202,K202)</f>
        <v>2.6666666666666665</v>
      </c>
      <c r="P202" s="4">
        <f t="shared" ref="P202:P211" si="40">AVERAGE(F202,I202,L202)</f>
        <v>1</v>
      </c>
    </row>
    <row r="203" spans="1:16" x14ac:dyDescent="0.3">
      <c r="A203" s="10"/>
      <c r="B203" s="10"/>
      <c r="C203" t="s">
        <v>31</v>
      </c>
      <c r="D203">
        <v>2</v>
      </c>
      <c r="E203">
        <v>2</v>
      </c>
      <c r="F203">
        <v>2</v>
      </c>
      <c r="G203">
        <v>1</v>
      </c>
      <c r="H203">
        <v>2</v>
      </c>
      <c r="I203">
        <v>1</v>
      </c>
      <c r="J203">
        <v>1</v>
      </c>
      <c r="K203">
        <v>2</v>
      </c>
      <c r="L203">
        <v>1</v>
      </c>
      <c r="N203" s="4">
        <f t="shared" si="38"/>
        <v>1.3333333333333333</v>
      </c>
      <c r="O203" s="4">
        <f t="shared" si="39"/>
        <v>2</v>
      </c>
      <c r="P203" s="4">
        <f t="shared" si="40"/>
        <v>1.3333333333333333</v>
      </c>
    </row>
    <row r="204" spans="1:16" x14ac:dyDescent="0.3">
      <c r="A204" s="10"/>
      <c r="B204" s="10"/>
      <c r="C204" t="s">
        <v>32</v>
      </c>
      <c r="D204">
        <v>1</v>
      </c>
      <c r="E204">
        <v>1</v>
      </c>
      <c r="F204">
        <v>1</v>
      </c>
      <c r="G204">
        <v>1</v>
      </c>
      <c r="H204">
        <v>2</v>
      </c>
      <c r="I204">
        <v>1</v>
      </c>
      <c r="J204">
        <v>2</v>
      </c>
      <c r="K204">
        <v>3</v>
      </c>
      <c r="L204">
        <v>2</v>
      </c>
      <c r="N204" s="4">
        <f t="shared" si="38"/>
        <v>1.3333333333333333</v>
      </c>
      <c r="O204" s="4">
        <f t="shared" si="39"/>
        <v>2</v>
      </c>
      <c r="P204" s="4">
        <f t="shared" si="40"/>
        <v>1.3333333333333333</v>
      </c>
    </row>
    <row r="205" spans="1:16" x14ac:dyDescent="0.3">
      <c r="A205" s="10">
        <v>30</v>
      </c>
      <c r="B205" s="10" t="s">
        <v>24</v>
      </c>
      <c r="C205" s="2" t="s">
        <v>25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N205" s="4">
        <f t="shared" si="38"/>
        <v>2</v>
      </c>
      <c r="O205" s="4">
        <f t="shared" si="39"/>
        <v>2</v>
      </c>
      <c r="P205" s="4">
        <f t="shared" si="40"/>
        <v>2</v>
      </c>
    </row>
    <row r="206" spans="1:16" x14ac:dyDescent="0.3">
      <c r="A206" s="10"/>
      <c r="B206" s="10"/>
      <c r="C206" t="s">
        <v>26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3</v>
      </c>
      <c r="K206">
        <v>2</v>
      </c>
      <c r="L206">
        <v>3</v>
      </c>
      <c r="N206" s="4">
        <f t="shared" si="38"/>
        <v>2.3333333333333335</v>
      </c>
      <c r="O206" s="4">
        <f t="shared" si="39"/>
        <v>2</v>
      </c>
      <c r="P206" s="4">
        <f t="shared" si="40"/>
        <v>2.3333333333333335</v>
      </c>
    </row>
    <row r="207" spans="1:16" x14ac:dyDescent="0.3">
      <c r="A207" s="10"/>
      <c r="B207" s="10"/>
      <c r="C207" t="s">
        <v>27</v>
      </c>
      <c r="D207">
        <v>2</v>
      </c>
      <c r="E207">
        <v>2</v>
      </c>
      <c r="F207">
        <v>2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N207" s="4">
        <f t="shared" si="38"/>
        <v>2.6666666666666665</v>
      </c>
      <c r="O207" s="4">
        <f t="shared" si="39"/>
        <v>2.6666666666666665</v>
      </c>
      <c r="P207" s="4">
        <f t="shared" si="40"/>
        <v>2.6666666666666665</v>
      </c>
    </row>
    <row r="208" spans="1:16" x14ac:dyDescent="0.3">
      <c r="A208" s="10"/>
      <c r="B208" s="10"/>
      <c r="C208" t="s">
        <v>28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2</v>
      </c>
      <c r="K208">
        <v>3</v>
      </c>
      <c r="L208">
        <v>3</v>
      </c>
      <c r="N208" s="4">
        <f t="shared" si="38"/>
        <v>2.6666666666666665</v>
      </c>
      <c r="O208" s="4">
        <f t="shared" si="39"/>
        <v>3</v>
      </c>
      <c r="P208" s="4">
        <f t="shared" si="40"/>
        <v>3</v>
      </c>
    </row>
    <row r="209" spans="1:16" x14ac:dyDescent="0.3">
      <c r="A209" s="10"/>
      <c r="B209" s="10"/>
      <c r="C209" t="s">
        <v>30</v>
      </c>
      <c r="D209">
        <v>3</v>
      </c>
      <c r="E209">
        <v>3</v>
      </c>
      <c r="F209">
        <v>1</v>
      </c>
      <c r="G209">
        <v>3</v>
      </c>
      <c r="H209">
        <v>3</v>
      </c>
      <c r="I209">
        <v>1</v>
      </c>
      <c r="J209">
        <v>3</v>
      </c>
      <c r="K209">
        <v>3</v>
      </c>
      <c r="L209">
        <v>1</v>
      </c>
      <c r="N209" s="4">
        <f t="shared" si="38"/>
        <v>3</v>
      </c>
      <c r="O209" s="4">
        <f t="shared" si="39"/>
        <v>3</v>
      </c>
      <c r="P209" s="4">
        <f t="shared" si="40"/>
        <v>1</v>
      </c>
    </row>
    <row r="210" spans="1:16" x14ac:dyDescent="0.3">
      <c r="A210" s="10"/>
      <c r="B210" s="10"/>
      <c r="C210" t="s">
        <v>31</v>
      </c>
      <c r="D210">
        <v>2</v>
      </c>
      <c r="E210">
        <v>1</v>
      </c>
      <c r="F210">
        <v>1</v>
      </c>
      <c r="G210">
        <v>2</v>
      </c>
      <c r="H210">
        <v>2</v>
      </c>
      <c r="I210">
        <v>2</v>
      </c>
      <c r="J210">
        <v>1</v>
      </c>
      <c r="K210">
        <v>2</v>
      </c>
      <c r="L210">
        <v>1</v>
      </c>
      <c r="N210" s="4">
        <f t="shared" si="38"/>
        <v>1.6666666666666667</v>
      </c>
      <c r="O210" s="4">
        <f t="shared" si="39"/>
        <v>1.6666666666666667</v>
      </c>
      <c r="P210" s="4">
        <f t="shared" si="40"/>
        <v>1.3333333333333333</v>
      </c>
    </row>
    <row r="211" spans="1:16" x14ac:dyDescent="0.3">
      <c r="A211" s="10"/>
      <c r="B211" s="10"/>
      <c r="C211" t="s">
        <v>32</v>
      </c>
      <c r="D211">
        <v>2</v>
      </c>
      <c r="E211">
        <v>2</v>
      </c>
      <c r="F211">
        <v>1</v>
      </c>
      <c r="G211">
        <v>2</v>
      </c>
      <c r="H211">
        <v>2</v>
      </c>
      <c r="I211">
        <v>2</v>
      </c>
      <c r="J211">
        <v>2</v>
      </c>
      <c r="K211">
        <v>3</v>
      </c>
      <c r="L211">
        <v>1</v>
      </c>
      <c r="N211" s="4">
        <f t="shared" si="38"/>
        <v>2</v>
      </c>
      <c r="O211" s="4">
        <f t="shared" si="39"/>
        <v>2.3333333333333335</v>
      </c>
      <c r="P211" s="4">
        <f t="shared" si="40"/>
        <v>1.3333333333333333</v>
      </c>
    </row>
  </sheetData>
  <mergeCells count="60">
    <mergeCell ref="A205:A211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121:A127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2:A8"/>
    <mergeCell ref="A9:A15"/>
    <mergeCell ref="A16:A22"/>
    <mergeCell ref="A23:A29"/>
    <mergeCell ref="A30:A36"/>
    <mergeCell ref="A37:A43"/>
    <mergeCell ref="B170:B176"/>
    <mergeCell ref="B177:B183"/>
    <mergeCell ref="B184:B190"/>
    <mergeCell ref="B191:B197"/>
    <mergeCell ref="B86:B92"/>
    <mergeCell ref="B93:B99"/>
    <mergeCell ref="B100:B106"/>
    <mergeCell ref="B107:B113"/>
    <mergeCell ref="B114:B120"/>
    <mergeCell ref="B121:B127"/>
    <mergeCell ref="B44:B50"/>
    <mergeCell ref="B51:B57"/>
    <mergeCell ref="B58:B64"/>
    <mergeCell ref="B65:B71"/>
    <mergeCell ref="B72:B78"/>
    <mergeCell ref="B198:B204"/>
    <mergeCell ref="B205:B211"/>
    <mergeCell ref="B128:B134"/>
    <mergeCell ref="B135:B141"/>
    <mergeCell ref="B142:B148"/>
    <mergeCell ref="B149:B155"/>
    <mergeCell ref="B156:B162"/>
    <mergeCell ref="B163:B169"/>
    <mergeCell ref="B79:B85"/>
    <mergeCell ref="B2:B8"/>
    <mergeCell ref="B9:B15"/>
    <mergeCell ref="B16:B22"/>
    <mergeCell ref="B23:B29"/>
    <mergeCell ref="B30:B36"/>
    <mergeCell ref="B37:B43"/>
  </mergeCells>
  <conditionalFormatting sqref="R1:T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A9 AB2:AD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W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AA9 AB2:AD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AA9 AB2:AD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:AD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headerFooter>
    <oddFooter>&amp;C_x000D_&amp;1#&amp;"Aptos"&amp;10&amp;K000000 deepIng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B92A-45E0-4958-987E-3578E4316723}">
  <dimension ref="A1:L212"/>
  <sheetViews>
    <sheetView workbookViewId="0">
      <selection activeCell="A2" sqref="A2:A211"/>
    </sheetView>
  </sheetViews>
  <sheetFormatPr baseColWidth="10" defaultRowHeight="14.4" x14ac:dyDescent="0.3"/>
  <cols>
    <col min="2" max="2" width="95.5546875" bestFit="1" customWidth="1"/>
    <col min="3" max="3" width="30.33203125" bestFit="1" customWidth="1"/>
    <col min="4" max="12" width="9.33203125" bestFit="1" customWidth="1"/>
  </cols>
  <sheetData>
    <row r="1" spans="1:12" x14ac:dyDescent="0.3">
      <c r="A1" s="1" t="s">
        <v>33</v>
      </c>
      <c r="B1" s="1" t="s">
        <v>0</v>
      </c>
      <c r="C1" s="1" t="s">
        <v>29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x14ac:dyDescent="0.3">
      <c r="A2" s="8">
        <v>1</v>
      </c>
      <c r="B2" s="8" t="s">
        <v>1</v>
      </c>
      <c r="C2" s="2" t="s">
        <v>25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3">
      <c r="A3" s="8">
        <v>1</v>
      </c>
      <c r="B3" s="8" t="s">
        <v>1</v>
      </c>
      <c r="C3" t="s">
        <v>26</v>
      </c>
      <c r="D3">
        <v>3</v>
      </c>
      <c r="E3">
        <v>3</v>
      </c>
      <c r="F3">
        <v>3</v>
      </c>
      <c r="G3">
        <v>3</v>
      </c>
      <c r="H3">
        <v>2</v>
      </c>
      <c r="I3">
        <v>3</v>
      </c>
      <c r="J3">
        <v>3</v>
      </c>
      <c r="K3">
        <v>3</v>
      </c>
      <c r="L3">
        <v>3</v>
      </c>
    </row>
    <row r="4" spans="1:12" x14ac:dyDescent="0.3">
      <c r="A4" s="8">
        <v>1</v>
      </c>
      <c r="B4" s="8" t="s">
        <v>1</v>
      </c>
      <c r="C4" t="s">
        <v>27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</row>
    <row r="5" spans="1:12" x14ac:dyDescent="0.3">
      <c r="A5" s="8">
        <v>1</v>
      </c>
      <c r="B5" s="8" t="s">
        <v>1</v>
      </c>
      <c r="C5" t="s">
        <v>28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2</v>
      </c>
      <c r="L5">
        <v>3</v>
      </c>
    </row>
    <row r="6" spans="1:12" x14ac:dyDescent="0.3">
      <c r="A6" s="8">
        <v>1</v>
      </c>
      <c r="B6" s="8" t="s">
        <v>1</v>
      </c>
      <c r="C6" t="s">
        <v>30</v>
      </c>
      <c r="D6">
        <v>2</v>
      </c>
      <c r="E6">
        <v>3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</row>
    <row r="7" spans="1:12" x14ac:dyDescent="0.3">
      <c r="A7" s="8">
        <v>1</v>
      </c>
      <c r="B7" s="8" t="s">
        <v>1</v>
      </c>
      <c r="C7" t="s">
        <v>31</v>
      </c>
      <c r="D7">
        <v>3</v>
      </c>
      <c r="E7">
        <v>1</v>
      </c>
      <c r="F7">
        <v>3</v>
      </c>
      <c r="G7">
        <v>3</v>
      </c>
      <c r="H7">
        <v>1</v>
      </c>
      <c r="I7">
        <v>3</v>
      </c>
      <c r="J7">
        <v>3</v>
      </c>
      <c r="K7">
        <v>2</v>
      </c>
      <c r="L7">
        <v>3</v>
      </c>
    </row>
    <row r="8" spans="1:12" x14ac:dyDescent="0.3">
      <c r="A8" s="8">
        <v>1</v>
      </c>
      <c r="B8" s="8" t="s">
        <v>1</v>
      </c>
      <c r="C8" t="s">
        <v>32</v>
      </c>
      <c r="D8">
        <v>3</v>
      </c>
      <c r="E8">
        <v>3</v>
      </c>
      <c r="F8">
        <v>3</v>
      </c>
      <c r="G8">
        <v>3</v>
      </c>
      <c r="H8">
        <v>2</v>
      </c>
      <c r="I8">
        <v>2</v>
      </c>
      <c r="J8">
        <v>2</v>
      </c>
      <c r="K8">
        <v>2</v>
      </c>
      <c r="L8">
        <v>2</v>
      </c>
    </row>
    <row r="9" spans="1:12" x14ac:dyDescent="0.3">
      <c r="A9" s="8">
        <v>2</v>
      </c>
      <c r="B9" s="8" t="s">
        <v>34</v>
      </c>
      <c r="C9" s="2" t="s">
        <v>25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1</v>
      </c>
      <c r="L9">
        <v>1</v>
      </c>
    </row>
    <row r="10" spans="1:12" x14ac:dyDescent="0.3">
      <c r="A10" s="8">
        <v>2</v>
      </c>
      <c r="B10" s="8" t="s">
        <v>34</v>
      </c>
      <c r="C10" t="s">
        <v>26</v>
      </c>
      <c r="D10">
        <v>3</v>
      </c>
      <c r="E10">
        <v>2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</row>
    <row r="11" spans="1:12" x14ac:dyDescent="0.3">
      <c r="A11" s="8">
        <v>2</v>
      </c>
      <c r="B11" s="8" t="s">
        <v>34</v>
      </c>
      <c r="C11" t="s">
        <v>27</v>
      </c>
      <c r="D11">
        <v>3</v>
      </c>
      <c r="E11">
        <v>3</v>
      </c>
      <c r="F11">
        <v>3</v>
      </c>
      <c r="G11">
        <v>3</v>
      </c>
      <c r="H11">
        <v>2</v>
      </c>
      <c r="I11">
        <v>3</v>
      </c>
      <c r="J11">
        <v>3</v>
      </c>
      <c r="K11">
        <v>3</v>
      </c>
      <c r="L11">
        <v>3</v>
      </c>
    </row>
    <row r="12" spans="1:12" x14ac:dyDescent="0.3">
      <c r="A12" s="8">
        <v>2</v>
      </c>
      <c r="B12" s="8" t="s">
        <v>34</v>
      </c>
      <c r="C12" t="s">
        <v>28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2</v>
      </c>
    </row>
    <row r="13" spans="1:12" x14ac:dyDescent="0.3">
      <c r="A13" s="8">
        <v>2</v>
      </c>
      <c r="B13" s="8" t="s">
        <v>34</v>
      </c>
      <c r="C13" t="s">
        <v>30</v>
      </c>
      <c r="D13">
        <v>3</v>
      </c>
      <c r="E13">
        <v>3</v>
      </c>
      <c r="F13">
        <v>1</v>
      </c>
      <c r="G13">
        <v>3</v>
      </c>
      <c r="H13">
        <v>3</v>
      </c>
      <c r="I13">
        <v>0</v>
      </c>
      <c r="J13">
        <v>3</v>
      </c>
      <c r="K13">
        <v>3</v>
      </c>
      <c r="L13">
        <v>1</v>
      </c>
    </row>
    <row r="14" spans="1:12" x14ac:dyDescent="0.3">
      <c r="A14" s="8">
        <v>2</v>
      </c>
      <c r="B14" s="8" t="s">
        <v>34</v>
      </c>
      <c r="C14" t="s">
        <v>31</v>
      </c>
      <c r="D14">
        <v>2</v>
      </c>
      <c r="E14">
        <v>1</v>
      </c>
      <c r="F14">
        <v>2</v>
      </c>
      <c r="G14">
        <v>3</v>
      </c>
      <c r="H14">
        <v>3</v>
      </c>
      <c r="I14">
        <v>2</v>
      </c>
      <c r="J14">
        <v>2</v>
      </c>
      <c r="K14">
        <v>2</v>
      </c>
      <c r="L14">
        <v>2</v>
      </c>
    </row>
    <row r="15" spans="1:12" x14ac:dyDescent="0.3">
      <c r="A15" s="8">
        <v>2</v>
      </c>
      <c r="B15" s="8" t="s">
        <v>34</v>
      </c>
      <c r="C15" t="s">
        <v>32</v>
      </c>
      <c r="D15">
        <v>3</v>
      </c>
      <c r="E15">
        <v>1</v>
      </c>
      <c r="F15">
        <v>3</v>
      </c>
      <c r="G15">
        <v>3</v>
      </c>
      <c r="H15">
        <v>3</v>
      </c>
      <c r="I15">
        <v>3</v>
      </c>
      <c r="J15">
        <v>2</v>
      </c>
      <c r="K15">
        <v>2</v>
      </c>
      <c r="L15">
        <v>2</v>
      </c>
    </row>
    <row r="16" spans="1:12" x14ac:dyDescent="0.3">
      <c r="A16" s="8">
        <v>3</v>
      </c>
      <c r="B16" s="8" t="s">
        <v>35</v>
      </c>
      <c r="C16" s="2" t="s">
        <v>25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3">
      <c r="A17" s="8">
        <v>3</v>
      </c>
      <c r="B17" s="8" t="s">
        <v>35</v>
      </c>
      <c r="C17" t="s">
        <v>26</v>
      </c>
      <c r="D17">
        <v>3</v>
      </c>
      <c r="E17">
        <v>2</v>
      </c>
      <c r="F17">
        <v>3</v>
      </c>
      <c r="G17">
        <v>3</v>
      </c>
      <c r="H17">
        <v>2</v>
      </c>
      <c r="I17">
        <v>1</v>
      </c>
      <c r="J17">
        <v>3</v>
      </c>
      <c r="K17">
        <v>3</v>
      </c>
      <c r="L17">
        <v>3</v>
      </c>
    </row>
    <row r="18" spans="1:12" x14ac:dyDescent="0.3">
      <c r="A18" s="8">
        <v>3</v>
      </c>
      <c r="B18" s="8" t="s">
        <v>35</v>
      </c>
      <c r="C18" t="s">
        <v>27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</row>
    <row r="19" spans="1:12" x14ac:dyDescent="0.3">
      <c r="A19" s="8">
        <v>3</v>
      </c>
      <c r="B19" s="8" t="s">
        <v>35</v>
      </c>
      <c r="C19" t="s">
        <v>28</v>
      </c>
      <c r="D19">
        <v>3</v>
      </c>
      <c r="E19">
        <v>3</v>
      </c>
      <c r="F19">
        <v>3</v>
      </c>
      <c r="G19">
        <v>3</v>
      </c>
      <c r="H19">
        <v>3</v>
      </c>
      <c r="I19">
        <v>1</v>
      </c>
      <c r="J19">
        <v>3</v>
      </c>
      <c r="K19">
        <v>3</v>
      </c>
      <c r="L19">
        <v>2</v>
      </c>
    </row>
    <row r="20" spans="1:12" x14ac:dyDescent="0.3">
      <c r="A20" s="8">
        <v>3</v>
      </c>
      <c r="B20" s="8" t="s">
        <v>35</v>
      </c>
      <c r="C20" t="s">
        <v>30</v>
      </c>
      <c r="D20">
        <v>3</v>
      </c>
      <c r="E20">
        <v>3</v>
      </c>
      <c r="F20">
        <v>1</v>
      </c>
      <c r="G20">
        <v>2</v>
      </c>
      <c r="H20">
        <v>3</v>
      </c>
      <c r="I20">
        <v>0</v>
      </c>
      <c r="J20">
        <v>2</v>
      </c>
      <c r="K20">
        <v>3</v>
      </c>
      <c r="L20">
        <v>0</v>
      </c>
    </row>
    <row r="21" spans="1:12" x14ac:dyDescent="0.3">
      <c r="A21" s="8">
        <v>3</v>
      </c>
      <c r="B21" s="8" t="s">
        <v>35</v>
      </c>
      <c r="C21" t="s">
        <v>31</v>
      </c>
      <c r="D21">
        <v>3</v>
      </c>
      <c r="E21">
        <v>2</v>
      </c>
      <c r="F21">
        <v>1</v>
      </c>
      <c r="G21">
        <v>3</v>
      </c>
      <c r="H21">
        <v>3</v>
      </c>
      <c r="I21">
        <v>1</v>
      </c>
      <c r="J21">
        <v>2</v>
      </c>
      <c r="K21">
        <v>2</v>
      </c>
      <c r="L21">
        <v>1</v>
      </c>
    </row>
    <row r="22" spans="1:12" x14ac:dyDescent="0.3">
      <c r="A22" s="8">
        <v>3</v>
      </c>
      <c r="B22" s="8" t="s">
        <v>35</v>
      </c>
      <c r="C22" t="s">
        <v>32</v>
      </c>
      <c r="D22">
        <v>3</v>
      </c>
      <c r="E22">
        <v>3</v>
      </c>
      <c r="F22">
        <v>2</v>
      </c>
      <c r="G22">
        <v>3</v>
      </c>
      <c r="H22">
        <v>3</v>
      </c>
      <c r="I22">
        <v>0</v>
      </c>
      <c r="J22">
        <v>3</v>
      </c>
      <c r="K22">
        <v>3</v>
      </c>
      <c r="L22">
        <v>1</v>
      </c>
    </row>
    <row r="23" spans="1:12" x14ac:dyDescent="0.3">
      <c r="A23" s="8">
        <v>4</v>
      </c>
      <c r="B23" s="8" t="s">
        <v>4</v>
      </c>
      <c r="C23" s="2" t="s">
        <v>25</v>
      </c>
      <c r="D23">
        <v>3</v>
      </c>
      <c r="E23">
        <v>3</v>
      </c>
      <c r="F23">
        <v>3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x14ac:dyDescent="0.3">
      <c r="A24" s="8">
        <v>4</v>
      </c>
      <c r="B24" s="8" t="s">
        <v>4</v>
      </c>
      <c r="C24" t="s">
        <v>26</v>
      </c>
      <c r="D24">
        <v>3</v>
      </c>
      <c r="E24">
        <v>3</v>
      </c>
      <c r="F24">
        <v>3</v>
      </c>
      <c r="G24">
        <v>1</v>
      </c>
      <c r="H24">
        <v>2</v>
      </c>
      <c r="I24">
        <v>2</v>
      </c>
      <c r="J24">
        <v>3</v>
      </c>
      <c r="K24">
        <v>3</v>
      </c>
      <c r="L24">
        <v>3</v>
      </c>
    </row>
    <row r="25" spans="1:12" x14ac:dyDescent="0.3">
      <c r="A25" s="8">
        <v>4</v>
      </c>
      <c r="B25" s="8" t="s">
        <v>4</v>
      </c>
      <c r="C25" t="s">
        <v>27</v>
      </c>
      <c r="D25">
        <v>3</v>
      </c>
      <c r="E25">
        <v>3</v>
      </c>
      <c r="F25">
        <v>3</v>
      </c>
      <c r="G25">
        <v>3</v>
      </c>
      <c r="H25">
        <v>3</v>
      </c>
      <c r="I25">
        <v>1</v>
      </c>
      <c r="J25">
        <v>3</v>
      </c>
      <c r="K25">
        <v>3</v>
      </c>
      <c r="L25">
        <v>1</v>
      </c>
    </row>
    <row r="26" spans="1:12" x14ac:dyDescent="0.3">
      <c r="A26" s="8">
        <v>4</v>
      </c>
      <c r="B26" s="8" t="s">
        <v>4</v>
      </c>
      <c r="C26" t="s">
        <v>28</v>
      </c>
      <c r="D26">
        <v>3</v>
      </c>
      <c r="E26">
        <v>3</v>
      </c>
      <c r="F26">
        <v>2</v>
      </c>
      <c r="G26">
        <v>3</v>
      </c>
      <c r="H26">
        <v>3</v>
      </c>
      <c r="I26">
        <v>3</v>
      </c>
      <c r="J26">
        <v>3</v>
      </c>
      <c r="K26">
        <v>3</v>
      </c>
      <c r="L26">
        <v>2</v>
      </c>
    </row>
    <row r="27" spans="1:12" x14ac:dyDescent="0.3">
      <c r="A27" s="8">
        <v>4</v>
      </c>
      <c r="B27" s="8" t="s">
        <v>4</v>
      </c>
      <c r="C27" t="s">
        <v>30</v>
      </c>
      <c r="D27">
        <v>3</v>
      </c>
      <c r="E27">
        <v>2</v>
      </c>
      <c r="F27">
        <v>1</v>
      </c>
      <c r="G27">
        <v>3</v>
      </c>
      <c r="H27">
        <v>3</v>
      </c>
      <c r="I27">
        <v>0</v>
      </c>
      <c r="J27">
        <v>2</v>
      </c>
      <c r="K27">
        <v>3</v>
      </c>
      <c r="L27">
        <v>1</v>
      </c>
    </row>
    <row r="28" spans="1:12" x14ac:dyDescent="0.3">
      <c r="A28" s="8">
        <v>4</v>
      </c>
      <c r="B28" s="8" t="s">
        <v>4</v>
      </c>
      <c r="C28" t="s">
        <v>31</v>
      </c>
      <c r="D28">
        <v>3</v>
      </c>
      <c r="E28">
        <v>2</v>
      </c>
      <c r="F28">
        <v>3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</row>
    <row r="29" spans="1:12" x14ac:dyDescent="0.3">
      <c r="A29" s="8">
        <v>4</v>
      </c>
      <c r="B29" s="8" t="s">
        <v>4</v>
      </c>
      <c r="C29" t="s">
        <v>32</v>
      </c>
      <c r="D29">
        <v>3</v>
      </c>
      <c r="E29">
        <v>2</v>
      </c>
      <c r="F29">
        <v>2</v>
      </c>
      <c r="G29">
        <v>3</v>
      </c>
      <c r="H29">
        <v>3</v>
      </c>
      <c r="I29">
        <v>1</v>
      </c>
      <c r="J29">
        <v>2</v>
      </c>
      <c r="K29">
        <v>3</v>
      </c>
      <c r="L29">
        <v>2</v>
      </c>
    </row>
    <row r="30" spans="1:12" x14ac:dyDescent="0.3">
      <c r="A30" s="8">
        <v>5</v>
      </c>
      <c r="B30" s="8" t="s">
        <v>36</v>
      </c>
      <c r="C30" s="2" t="s">
        <v>25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</row>
    <row r="31" spans="1:12" x14ac:dyDescent="0.3">
      <c r="A31" s="8">
        <v>5</v>
      </c>
      <c r="B31" s="8" t="s">
        <v>36</v>
      </c>
      <c r="C31" t="s">
        <v>26</v>
      </c>
      <c r="D31">
        <v>3</v>
      </c>
      <c r="E31">
        <v>3</v>
      </c>
      <c r="F31">
        <v>1</v>
      </c>
      <c r="G31">
        <v>3</v>
      </c>
      <c r="H31">
        <v>2</v>
      </c>
      <c r="I31">
        <v>1</v>
      </c>
      <c r="J31">
        <v>3</v>
      </c>
      <c r="K31">
        <v>3</v>
      </c>
      <c r="L31">
        <v>1</v>
      </c>
    </row>
    <row r="32" spans="1:12" x14ac:dyDescent="0.3">
      <c r="A32" s="8">
        <v>5</v>
      </c>
      <c r="B32" s="8" t="s">
        <v>36</v>
      </c>
      <c r="C32" t="s">
        <v>27</v>
      </c>
      <c r="D32">
        <v>3</v>
      </c>
      <c r="E32">
        <v>3</v>
      </c>
      <c r="F32">
        <v>1</v>
      </c>
      <c r="G32">
        <v>2</v>
      </c>
      <c r="H32">
        <v>3</v>
      </c>
      <c r="I32">
        <v>1</v>
      </c>
      <c r="J32">
        <v>2</v>
      </c>
      <c r="K32">
        <v>3</v>
      </c>
      <c r="L32">
        <v>1</v>
      </c>
    </row>
    <row r="33" spans="1:12" x14ac:dyDescent="0.3">
      <c r="A33" s="8">
        <v>5</v>
      </c>
      <c r="B33" s="8" t="s">
        <v>36</v>
      </c>
      <c r="C33" t="s">
        <v>28</v>
      </c>
      <c r="D33">
        <v>3</v>
      </c>
      <c r="E33">
        <v>2</v>
      </c>
      <c r="F33">
        <v>1</v>
      </c>
      <c r="G33">
        <v>3</v>
      </c>
      <c r="H33">
        <v>3</v>
      </c>
      <c r="I33">
        <v>1</v>
      </c>
      <c r="J33">
        <v>3</v>
      </c>
      <c r="K33">
        <v>3</v>
      </c>
      <c r="L33">
        <v>1</v>
      </c>
    </row>
    <row r="34" spans="1:12" x14ac:dyDescent="0.3">
      <c r="A34" s="8">
        <v>5</v>
      </c>
      <c r="B34" s="8" t="s">
        <v>36</v>
      </c>
      <c r="C34" t="s">
        <v>30</v>
      </c>
      <c r="D34">
        <v>3</v>
      </c>
      <c r="E34">
        <v>3</v>
      </c>
      <c r="F34">
        <v>1</v>
      </c>
      <c r="G34">
        <v>3</v>
      </c>
      <c r="H34">
        <v>2</v>
      </c>
      <c r="I34">
        <v>0</v>
      </c>
      <c r="J34">
        <v>2</v>
      </c>
      <c r="K34">
        <v>2</v>
      </c>
      <c r="L34">
        <v>0</v>
      </c>
    </row>
    <row r="35" spans="1:12" x14ac:dyDescent="0.3">
      <c r="A35" s="8">
        <v>5</v>
      </c>
      <c r="B35" s="8" t="s">
        <v>36</v>
      </c>
      <c r="C35" t="s">
        <v>31</v>
      </c>
      <c r="D35">
        <v>3</v>
      </c>
      <c r="E35">
        <v>2</v>
      </c>
      <c r="F35">
        <v>1</v>
      </c>
      <c r="G35">
        <v>3</v>
      </c>
      <c r="H35">
        <v>2</v>
      </c>
      <c r="I35">
        <v>1</v>
      </c>
      <c r="J35">
        <v>3</v>
      </c>
      <c r="K35">
        <v>2</v>
      </c>
      <c r="L35">
        <v>1</v>
      </c>
    </row>
    <row r="36" spans="1:12" x14ac:dyDescent="0.3">
      <c r="A36" s="8">
        <v>5</v>
      </c>
      <c r="B36" s="8" t="s">
        <v>36</v>
      </c>
      <c r="C36" t="s">
        <v>32</v>
      </c>
      <c r="D36">
        <v>3</v>
      </c>
      <c r="E36">
        <v>2</v>
      </c>
      <c r="F36">
        <v>0</v>
      </c>
      <c r="G36">
        <v>3</v>
      </c>
      <c r="H36">
        <v>2</v>
      </c>
      <c r="I36">
        <v>1</v>
      </c>
      <c r="J36">
        <v>3</v>
      </c>
      <c r="K36">
        <v>2</v>
      </c>
      <c r="L36">
        <v>1</v>
      </c>
    </row>
    <row r="37" spans="1:12" x14ac:dyDescent="0.3">
      <c r="A37" s="8">
        <v>6</v>
      </c>
      <c r="B37" s="8" t="s">
        <v>7</v>
      </c>
      <c r="C37" s="2" t="s">
        <v>25</v>
      </c>
      <c r="D37">
        <v>3</v>
      </c>
      <c r="E37">
        <v>3</v>
      </c>
      <c r="F37">
        <v>3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</row>
    <row r="38" spans="1:12" x14ac:dyDescent="0.3">
      <c r="A38" s="8">
        <v>6</v>
      </c>
      <c r="B38" s="8" t="s">
        <v>7</v>
      </c>
      <c r="C38" t="s">
        <v>26</v>
      </c>
      <c r="D38">
        <v>3</v>
      </c>
      <c r="E38">
        <v>2</v>
      </c>
      <c r="F38">
        <v>3</v>
      </c>
      <c r="G38">
        <v>3</v>
      </c>
      <c r="H38">
        <v>1</v>
      </c>
      <c r="I38">
        <v>1</v>
      </c>
      <c r="J38">
        <v>3</v>
      </c>
      <c r="K38">
        <v>2</v>
      </c>
      <c r="L38">
        <v>3</v>
      </c>
    </row>
    <row r="39" spans="1:12" x14ac:dyDescent="0.3">
      <c r="A39" s="8">
        <v>6</v>
      </c>
      <c r="B39" s="8" t="s">
        <v>7</v>
      </c>
      <c r="C39" t="s">
        <v>27</v>
      </c>
      <c r="D39">
        <v>3</v>
      </c>
      <c r="E39">
        <v>1</v>
      </c>
      <c r="F39">
        <v>1</v>
      </c>
      <c r="G39">
        <v>1</v>
      </c>
      <c r="H39">
        <v>3</v>
      </c>
      <c r="I39">
        <v>1</v>
      </c>
      <c r="J39">
        <v>1</v>
      </c>
      <c r="K39">
        <v>3</v>
      </c>
      <c r="L39">
        <v>1</v>
      </c>
    </row>
    <row r="40" spans="1:12" x14ac:dyDescent="0.3">
      <c r="A40" s="8">
        <v>6</v>
      </c>
      <c r="B40" s="8" t="s">
        <v>7</v>
      </c>
      <c r="C40" t="s">
        <v>28</v>
      </c>
      <c r="D40">
        <v>3</v>
      </c>
      <c r="E40">
        <v>3</v>
      </c>
      <c r="F40">
        <v>0</v>
      </c>
      <c r="G40">
        <v>3</v>
      </c>
      <c r="H40">
        <v>3</v>
      </c>
      <c r="I40">
        <v>3</v>
      </c>
      <c r="J40">
        <v>2</v>
      </c>
      <c r="K40">
        <v>3</v>
      </c>
      <c r="L40">
        <v>1</v>
      </c>
    </row>
    <row r="41" spans="1:12" x14ac:dyDescent="0.3">
      <c r="A41" s="8">
        <v>6</v>
      </c>
      <c r="B41" s="8" t="s">
        <v>7</v>
      </c>
      <c r="C41" t="s">
        <v>30</v>
      </c>
      <c r="D41">
        <v>3</v>
      </c>
      <c r="E41">
        <v>3</v>
      </c>
      <c r="F41">
        <v>1</v>
      </c>
      <c r="G41">
        <v>2</v>
      </c>
      <c r="H41">
        <v>3</v>
      </c>
      <c r="I41">
        <v>0</v>
      </c>
      <c r="J41">
        <v>1</v>
      </c>
      <c r="K41">
        <v>2</v>
      </c>
      <c r="L41">
        <v>1</v>
      </c>
    </row>
    <row r="42" spans="1:12" x14ac:dyDescent="0.3">
      <c r="A42" s="8">
        <v>6</v>
      </c>
      <c r="B42" s="8" t="s">
        <v>7</v>
      </c>
      <c r="C42" t="s">
        <v>31</v>
      </c>
      <c r="D42">
        <v>3</v>
      </c>
      <c r="E42">
        <v>2</v>
      </c>
      <c r="F42">
        <v>2</v>
      </c>
      <c r="G42">
        <v>3</v>
      </c>
      <c r="H42">
        <v>1</v>
      </c>
      <c r="I42">
        <v>1</v>
      </c>
      <c r="J42">
        <v>1</v>
      </c>
      <c r="K42">
        <v>2</v>
      </c>
      <c r="L42">
        <v>2</v>
      </c>
    </row>
    <row r="43" spans="1:12" x14ac:dyDescent="0.3">
      <c r="A43" s="8">
        <v>6</v>
      </c>
      <c r="B43" s="8" t="s">
        <v>7</v>
      </c>
      <c r="C43" t="s">
        <v>32</v>
      </c>
      <c r="D43">
        <v>3</v>
      </c>
      <c r="E43">
        <v>1</v>
      </c>
      <c r="F43">
        <v>1</v>
      </c>
      <c r="G43">
        <v>2</v>
      </c>
      <c r="H43">
        <v>2</v>
      </c>
      <c r="I43">
        <v>1</v>
      </c>
      <c r="J43">
        <v>1</v>
      </c>
      <c r="K43">
        <v>2</v>
      </c>
      <c r="L43">
        <v>1</v>
      </c>
    </row>
    <row r="44" spans="1:12" x14ac:dyDescent="0.3">
      <c r="A44" s="8">
        <v>7</v>
      </c>
      <c r="B44" s="8" t="s">
        <v>9</v>
      </c>
      <c r="C44" s="2" t="s">
        <v>25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</row>
    <row r="45" spans="1:12" x14ac:dyDescent="0.3">
      <c r="A45" s="8">
        <v>7</v>
      </c>
      <c r="B45" s="8" t="s">
        <v>9</v>
      </c>
      <c r="C45" t="s">
        <v>26</v>
      </c>
      <c r="D45">
        <v>3</v>
      </c>
      <c r="E45">
        <v>3</v>
      </c>
      <c r="F45">
        <v>3</v>
      </c>
      <c r="G45">
        <v>3</v>
      </c>
      <c r="H45">
        <v>2</v>
      </c>
      <c r="I45">
        <v>3</v>
      </c>
      <c r="J45">
        <v>3</v>
      </c>
      <c r="K45">
        <v>3</v>
      </c>
      <c r="L45">
        <v>3</v>
      </c>
    </row>
    <row r="46" spans="1:12" x14ac:dyDescent="0.3">
      <c r="A46" s="8">
        <v>7</v>
      </c>
      <c r="B46" s="8" t="s">
        <v>9</v>
      </c>
      <c r="C46" t="s">
        <v>27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</row>
    <row r="47" spans="1:12" x14ac:dyDescent="0.3">
      <c r="A47" s="8">
        <v>7</v>
      </c>
      <c r="B47" s="8" t="s">
        <v>9</v>
      </c>
      <c r="C47" t="s">
        <v>28</v>
      </c>
      <c r="D47">
        <v>3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3</v>
      </c>
      <c r="L47">
        <v>3</v>
      </c>
    </row>
    <row r="48" spans="1:12" x14ac:dyDescent="0.3">
      <c r="A48" s="8">
        <v>7</v>
      </c>
      <c r="B48" s="8" t="s">
        <v>9</v>
      </c>
      <c r="C48" t="s">
        <v>30</v>
      </c>
      <c r="D48">
        <v>2</v>
      </c>
      <c r="E48">
        <v>2</v>
      </c>
      <c r="F48">
        <v>1</v>
      </c>
      <c r="G48">
        <v>2</v>
      </c>
      <c r="H48">
        <v>1</v>
      </c>
      <c r="I48">
        <v>0</v>
      </c>
      <c r="J48">
        <v>2</v>
      </c>
      <c r="K48">
        <v>1</v>
      </c>
      <c r="L48">
        <v>1</v>
      </c>
    </row>
    <row r="49" spans="1:12" x14ac:dyDescent="0.3">
      <c r="A49" s="8">
        <v>7</v>
      </c>
      <c r="B49" s="8" t="s">
        <v>9</v>
      </c>
      <c r="C49" t="s">
        <v>31</v>
      </c>
      <c r="D49">
        <v>2</v>
      </c>
      <c r="E49">
        <v>1</v>
      </c>
      <c r="F49">
        <v>3</v>
      </c>
      <c r="G49">
        <v>3</v>
      </c>
      <c r="H49">
        <v>2</v>
      </c>
      <c r="I49">
        <v>2</v>
      </c>
      <c r="J49">
        <v>3</v>
      </c>
      <c r="K49">
        <v>2</v>
      </c>
      <c r="L49">
        <v>3</v>
      </c>
    </row>
    <row r="50" spans="1:12" x14ac:dyDescent="0.3">
      <c r="A50" s="8">
        <v>7</v>
      </c>
      <c r="B50" s="8" t="s">
        <v>9</v>
      </c>
      <c r="C50" t="s">
        <v>32</v>
      </c>
      <c r="D50">
        <v>3</v>
      </c>
      <c r="E50">
        <v>1</v>
      </c>
      <c r="F50">
        <v>3</v>
      </c>
      <c r="G50">
        <v>2</v>
      </c>
      <c r="H50">
        <v>1</v>
      </c>
      <c r="I50">
        <v>2</v>
      </c>
      <c r="J50">
        <v>3</v>
      </c>
      <c r="K50">
        <v>2</v>
      </c>
      <c r="L50">
        <v>3</v>
      </c>
    </row>
    <row r="51" spans="1:12" x14ac:dyDescent="0.3">
      <c r="A51" s="8">
        <v>8</v>
      </c>
      <c r="B51" s="8" t="s">
        <v>11</v>
      </c>
      <c r="C51" s="2" t="s">
        <v>25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</row>
    <row r="52" spans="1:12" x14ac:dyDescent="0.3">
      <c r="A52" s="8">
        <v>8</v>
      </c>
      <c r="B52" s="8" t="s">
        <v>11</v>
      </c>
      <c r="C52" t="s">
        <v>26</v>
      </c>
      <c r="D52">
        <v>3</v>
      </c>
      <c r="E52">
        <v>3</v>
      </c>
      <c r="F52">
        <v>3</v>
      </c>
      <c r="G52">
        <v>3</v>
      </c>
      <c r="H52">
        <v>2</v>
      </c>
      <c r="I52">
        <v>3</v>
      </c>
      <c r="J52">
        <v>3</v>
      </c>
      <c r="K52">
        <v>3</v>
      </c>
      <c r="L52">
        <v>3</v>
      </c>
    </row>
    <row r="53" spans="1:12" x14ac:dyDescent="0.3">
      <c r="A53" s="8">
        <v>8</v>
      </c>
      <c r="B53" s="8" t="s">
        <v>11</v>
      </c>
      <c r="C53" t="s">
        <v>27</v>
      </c>
      <c r="D53">
        <v>3</v>
      </c>
      <c r="E53">
        <v>3</v>
      </c>
      <c r="F53">
        <v>3</v>
      </c>
      <c r="G53">
        <v>2</v>
      </c>
      <c r="H53">
        <v>3</v>
      </c>
      <c r="I53">
        <v>2</v>
      </c>
      <c r="J53">
        <v>3</v>
      </c>
      <c r="K53">
        <v>3</v>
      </c>
      <c r="L53">
        <v>3</v>
      </c>
    </row>
    <row r="54" spans="1:12" x14ac:dyDescent="0.3">
      <c r="A54" s="8">
        <v>8</v>
      </c>
      <c r="B54" s="8" t="s">
        <v>11</v>
      </c>
      <c r="C54" t="s">
        <v>28</v>
      </c>
      <c r="D54">
        <v>3</v>
      </c>
      <c r="E54">
        <v>3</v>
      </c>
      <c r="F54">
        <v>3</v>
      </c>
      <c r="G54">
        <v>2</v>
      </c>
      <c r="H54">
        <v>3</v>
      </c>
      <c r="I54">
        <v>2</v>
      </c>
      <c r="J54">
        <v>3</v>
      </c>
      <c r="K54">
        <v>3</v>
      </c>
      <c r="L54">
        <v>3</v>
      </c>
    </row>
    <row r="55" spans="1:12" x14ac:dyDescent="0.3">
      <c r="A55" s="8">
        <v>8</v>
      </c>
      <c r="B55" s="8" t="s">
        <v>11</v>
      </c>
      <c r="C55" t="s">
        <v>30</v>
      </c>
      <c r="D55">
        <v>3</v>
      </c>
      <c r="E55">
        <v>2</v>
      </c>
      <c r="F55">
        <v>1</v>
      </c>
      <c r="G55">
        <v>3</v>
      </c>
      <c r="H55">
        <v>3</v>
      </c>
      <c r="I55">
        <v>0</v>
      </c>
      <c r="J55">
        <v>3</v>
      </c>
      <c r="K55">
        <v>3</v>
      </c>
      <c r="L55">
        <v>1</v>
      </c>
    </row>
    <row r="56" spans="1:12" x14ac:dyDescent="0.3">
      <c r="A56" s="8">
        <v>8</v>
      </c>
      <c r="B56" s="8" t="s">
        <v>11</v>
      </c>
      <c r="C56" t="s">
        <v>31</v>
      </c>
      <c r="D56">
        <v>2</v>
      </c>
      <c r="E56">
        <v>1</v>
      </c>
      <c r="F56">
        <v>2</v>
      </c>
      <c r="G56">
        <v>3</v>
      </c>
      <c r="H56">
        <v>2</v>
      </c>
      <c r="I56">
        <v>3</v>
      </c>
      <c r="J56">
        <v>2</v>
      </c>
      <c r="K56">
        <v>1</v>
      </c>
      <c r="L56">
        <v>2</v>
      </c>
    </row>
    <row r="57" spans="1:12" x14ac:dyDescent="0.3">
      <c r="A57" s="8">
        <v>8</v>
      </c>
      <c r="B57" s="8" t="s">
        <v>11</v>
      </c>
      <c r="C57" t="s">
        <v>32</v>
      </c>
      <c r="D57">
        <v>3</v>
      </c>
      <c r="E57">
        <v>3</v>
      </c>
      <c r="F57">
        <v>3</v>
      </c>
      <c r="G57">
        <v>3</v>
      </c>
      <c r="H57">
        <v>2</v>
      </c>
      <c r="I57">
        <v>1</v>
      </c>
      <c r="J57">
        <v>3</v>
      </c>
      <c r="K57">
        <v>2</v>
      </c>
      <c r="L57">
        <v>2</v>
      </c>
    </row>
    <row r="58" spans="1:12" x14ac:dyDescent="0.3">
      <c r="A58" s="8">
        <v>9</v>
      </c>
      <c r="B58" s="8" t="s">
        <v>13</v>
      </c>
      <c r="C58" s="2" t="s">
        <v>25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</row>
    <row r="59" spans="1:12" x14ac:dyDescent="0.3">
      <c r="A59" s="8">
        <v>9</v>
      </c>
      <c r="B59" s="8" t="s">
        <v>13</v>
      </c>
      <c r="C59" t="s">
        <v>26</v>
      </c>
      <c r="D59">
        <v>3</v>
      </c>
      <c r="E59">
        <v>3</v>
      </c>
      <c r="F59">
        <v>3</v>
      </c>
      <c r="G59">
        <v>3</v>
      </c>
      <c r="H59">
        <v>2</v>
      </c>
      <c r="I59">
        <v>3</v>
      </c>
      <c r="J59">
        <v>3</v>
      </c>
      <c r="K59">
        <v>3</v>
      </c>
      <c r="L59">
        <v>3</v>
      </c>
    </row>
    <row r="60" spans="1:12" x14ac:dyDescent="0.3">
      <c r="A60" s="8">
        <v>9</v>
      </c>
      <c r="B60" s="8" t="s">
        <v>13</v>
      </c>
      <c r="C60" t="s">
        <v>27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</row>
    <row r="61" spans="1:12" x14ac:dyDescent="0.3">
      <c r="A61" s="8">
        <v>9</v>
      </c>
      <c r="B61" s="8" t="s">
        <v>13</v>
      </c>
      <c r="C61" t="s">
        <v>28</v>
      </c>
      <c r="D61">
        <v>3</v>
      </c>
      <c r="E61">
        <v>3</v>
      </c>
      <c r="F61">
        <v>3</v>
      </c>
      <c r="G61">
        <v>2</v>
      </c>
      <c r="H61">
        <v>3</v>
      </c>
      <c r="I61">
        <v>2</v>
      </c>
      <c r="J61">
        <v>3</v>
      </c>
      <c r="K61">
        <v>3</v>
      </c>
      <c r="L61">
        <v>3</v>
      </c>
    </row>
    <row r="62" spans="1:12" x14ac:dyDescent="0.3">
      <c r="A62" s="8">
        <v>9</v>
      </c>
      <c r="B62" s="8" t="s">
        <v>13</v>
      </c>
      <c r="C62" t="s">
        <v>30</v>
      </c>
      <c r="D62">
        <v>3</v>
      </c>
      <c r="E62">
        <v>2</v>
      </c>
      <c r="F62">
        <v>2</v>
      </c>
      <c r="G62">
        <v>3</v>
      </c>
      <c r="H62">
        <v>0</v>
      </c>
      <c r="I62">
        <v>0</v>
      </c>
      <c r="J62">
        <v>2</v>
      </c>
      <c r="K62">
        <v>2</v>
      </c>
      <c r="L62">
        <v>1</v>
      </c>
    </row>
    <row r="63" spans="1:12" x14ac:dyDescent="0.3">
      <c r="A63" s="8">
        <v>9</v>
      </c>
      <c r="B63" s="8" t="s">
        <v>13</v>
      </c>
      <c r="C63" t="s">
        <v>31</v>
      </c>
      <c r="D63">
        <v>2</v>
      </c>
      <c r="E63">
        <v>1</v>
      </c>
      <c r="F63">
        <v>2</v>
      </c>
      <c r="G63">
        <v>3</v>
      </c>
      <c r="H63">
        <v>2</v>
      </c>
      <c r="I63">
        <v>2</v>
      </c>
      <c r="J63">
        <v>2</v>
      </c>
      <c r="K63">
        <v>2</v>
      </c>
      <c r="L63">
        <v>2</v>
      </c>
    </row>
    <row r="64" spans="1:12" x14ac:dyDescent="0.3">
      <c r="A64" s="8">
        <v>9</v>
      </c>
      <c r="B64" s="8" t="s">
        <v>13</v>
      </c>
      <c r="C64" t="s">
        <v>32</v>
      </c>
      <c r="D64">
        <v>3</v>
      </c>
      <c r="E64">
        <v>3</v>
      </c>
      <c r="F64">
        <v>3</v>
      </c>
      <c r="G64">
        <v>3</v>
      </c>
      <c r="H64">
        <v>1</v>
      </c>
      <c r="I64">
        <v>1</v>
      </c>
      <c r="J64">
        <v>2</v>
      </c>
      <c r="K64">
        <v>2</v>
      </c>
      <c r="L64">
        <v>1</v>
      </c>
    </row>
    <row r="65" spans="1:12" x14ac:dyDescent="0.3">
      <c r="A65" s="8">
        <v>10</v>
      </c>
      <c r="B65" s="8" t="s">
        <v>15</v>
      </c>
      <c r="C65" s="2" t="s">
        <v>25</v>
      </c>
      <c r="D65">
        <v>3</v>
      </c>
      <c r="E65">
        <v>3</v>
      </c>
      <c r="F65">
        <v>3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</row>
    <row r="66" spans="1:12" x14ac:dyDescent="0.3">
      <c r="A66" s="8">
        <v>10</v>
      </c>
      <c r="B66" s="8" t="s">
        <v>15</v>
      </c>
      <c r="C66" t="s">
        <v>26</v>
      </c>
      <c r="D66">
        <v>3</v>
      </c>
      <c r="E66">
        <v>3</v>
      </c>
      <c r="F66">
        <v>3</v>
      </c>
      <c r="G66">
        <v>1</v>
      </c>
      <c r="H66">
        <v>3</v>
      </c>
      <c r="I66">
        <v>1</v>
      </c>
      <c r="J66">
        <v>2</v>
      </c>
      <c r="K66">
        <v>2</v>
      </c>
      <c r="L66">
        <v>2</v>
      </c>
    </row>
    <row r="67" spans="1:12" x14ac:dyDescent="0.3">
      <c r="A67" s="8">
        <v>10</v>
      </c>
      <c r="B67" s="8" t="s">
        <v>15</v>
      </c>
      <c r="C67" t="s">
        <v>27</v>
      </c>
      <c r="D67">
        <v>3</v>
      </c>
      <c r="E67">
        <v>3</v>
      </c>
      <c r="F67">
        <v>2</v>
      </c>
      <c r="G67">
        <v>1</v>
      </c>
      <c r="H67">
        <v>3</v>
      </c>
      <c r="I67">
        <v>3</v>
      </c>
      <c r="J67">
        <v>2</v>
      </c>
      <c r="K67">
        <v>3</v>
      </c>
      <c r="L67">
        <v>3</v>
      </c>
    </row>
    <row r="68" spans="1:12" x14ac:dyDescent="0.3">
      <c r="A68" s="8">
        <v>10</v>
      </c>
      <c r="B68" s="8" t="s">
        <v>15</v>
      </c>
      <c r="C68" t="s">
        <v>28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</row>
    <row r="69" spans="1:12" x14ac:dyDescent="0.3">
      <c r="A69" s="8">
        <v>10</v>
      </c>
      <c r="B69" s="8" t="s">
        <v>15</v>
      </c>
      <c r="C69" t="s">
        <v>30</v>
      </c>
      <c r="D69">
        <v>2</v>
      </c>
      <c r="E69">
        <v>2</v>
      </c>
      <c r="F69">
        <v>1</v>
      </c>
      <c r="G69">
        <v>1</v>
      </c>
      <c r="H69">
        <v>3</v>
      </c>
      <c r="I69">
        <v>0</v>
      </c>
      <c r="J69">
        <v>2</v>
      </c>
      <c r="K69">
        <v>3</v>
      </c>
      <c r="L69">
        <v>1</v>
      </c>
    </row>
    <row r="70" spans="1:12" x14ac:dyDescent="0.3">
      <c r="A70" s="8">
        <v>10</v>
      </c>
      <c r="B70" s="8" t="s">
        <v>15</v>
      </c>
      <c r="C70" t="s">
        <v>31</v>
      </c>
      <c r="D70">
        <v>1</v>
      </c>
      <c r="E70">
        <v>2</v>
      </c>
      <c r="F70">
        <v>1</v>
      </c>
      <c r="G70">
        <v>1</v>
      </c>
      <c r="H70">
        <v>3</v>
      </c>
      <c r="I70">
        <v>0</v>
      </c>
      <c r="J70">
        <v>1</v>
      </c>
      <c r="K70">
        <v>3</v>
      </c>
      <c r="L70">
        <v>1</v>
      </c>
    </row>
    <row r="71" spans="1:12" x14ac:dyDescent="0.3">
      <c r="A71" s="8">
        <v>10</v>
      </c>
      <c r="B71" s="8" t="s">
        <v>15</v>
      </c>
      <c r="C71" t="s">
        <v>32</v>
      </c>
      <c r="D71">
        <v>2</v>
      </c>
      <c r="E71">
        <v>2</v>
      </c>
      <c r="F71">
        <v>1</v>
      </c>
      <c r="G71">
        <v>0</v>
      </c>
      <c r="H71">
        <v>3</v>
      </c>
      <c r="I71">
        <v>0</v>
      </c>
      <c r="J71">
        <v>2</v>
      </c>
      <c r="K71">
        <v>3</v>
      </c>
      <c r="L71">
        <v>1</v>
      </c>
    </row>
    <row r="72" spans="1:12" x14ac:dyDescent="0.3">
      <c r="A72" s="8">
        <v>11</v>
      </c>
      <c r="B72" s="8" t="s">
        <v>16</v>
      </c>
      <c r="C72" s="2" t="s">
        <v>25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2</v>
      </c>
      <c r="K72">
        <v>2</v>
      </c>
      <c r="L72">
        <v>2</v>
      </c>
    </row>
    <row r="73" spans="1:12" x14ac:dyDescent="0.3">
      <c r="A73" s="8">
        <v>11</v>
      </c>
      <c r="B73" s="8" t="s">
        <v>16</v>
      </c>
      <c r="C73" t="s">
        <v>26</v>
      </c>
      <c r="D73">
        <v>3</v>
      </c>
      <c r="E73">
        <v>3</v>
      </c>
      <c r="F73">
        <v>2</v>
      </c>
      <c r="G73">
        <v>1</v>
      </c>
      <c r="H73">
        <v>3</v>
      </c>
      <c r="I73">
        <v>1</v>
      </c>
      <c r="J73">
        <v>3</v>
      </c>
      <c r="K73">
        <v>3</v>
      </c>
      <c r="L73">
        <v>3</v>
      </c>
    </row>
    <row r="74" spans="1:12" x14ac:dyDescent="0.3">
      <c r="A74" s="8">
        <v>11</v>
      </c>
      <c r="B74" s="8" t="s">
        <v>16</v>
      </c>
      <c r="C74" t="s">
        <v>27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</row>
    <row r="75" spans="1:12" x14ac:dyDescent="0.3">
      <c r="A75" s="8">
        <v>11</v>
      </c>
      <c r="B75" s="8" t="s">
        <v>16</v>
      </c>
      <c r="C75" t="s">
        <v>28</v>
      </c>
      <c r="D75">
        <v>1</v>
      </c>
      <c r="E75">
        <v>3</v>
      </c>
      <c r="F75">
        <v>1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</row>
    <row r="76" spans="1:12" x14ac:dyDescent="0.3">
      <c r="A76" s="8">
        <v>11</v>
      </c>
      <c r="B76" s="8" t="s">
        <v>16</v>
      </c>
      <c r="C76" t="s">
        <v>30</v>
      </c>
      <c r="D76">
        <v>2</v>
      </c>
      <c r="E76">
        <v>3</v>
      </c>
      <c r="F76">
        <v>1</v>
      </c>
      <c r="G76">
        <v>1</v>
      </c>
      <c r="H76">
        <v>3</v>
      </c>
      <c r="I76">
        <v>0</v>
      </c>
      <c r="J76">
        <v>3</v>
      </c>
      <c r="K76">
        <v>3</v>
      </c>
      <c r="L76">
        <v>1</v>
      </c>
    </row>
    <row r="77" spans="1:12" x14ac:dyDescent="0.3">
      <c r="A77" s="8">
        <v>11</v>
      </c>
      <c r="B77" s="8" t="s">
        <v>16</v>
      </c>
      <c r="C77" t="s">
        <v>31</v>
      </c>
      <c r="D77">
        <v>2</v>
      </c>
      <c r="E77">
        <v>1</v>
      </c>
      <c r="F77">
        <v>1</v>
      </c>
      <c r="G77">
        <v>1</v>
      </c>
      <c r="H77">
        <v>2</v>
      </c>
      <c r="I77">
        <v>0</v>
      </c>
      <c r="J77">
        <v>1</v>
      </c>
      <c r="K77">
        <v>2</v>
      </c>
      <c r="L77">
        <v>1</v>
      </c>
    </row>
    <row r="78" spans="1:12" x14ac:dyDescent="0.3">
      <c r="A78" s="8">
        <v>11</v>
      </c>
      <c r="B78" s="8" t="s">
        <v>16</v>
      </c>
      <c r="C78" t="s">
        <v>32</v>
      </c>
      <c r="D78">
        <v>1</v>
      </c>
      <c r="E78">
        <v>3</v>
      </c>
      <c r="F78">
        <v>1</v>
      </c>
      <c r="G78">
        <v>1</v>
      </c>
      <c r="H78">
        <v>3</v>
      </c>
      <c r="I78">
        <v>0</v>
      </c>
      <c r="J78">
        <v>2</v>
      </c>
      <c r="K78">
        <v>3</v>
      </c>
      <c r="L78">
        <v>1</v>
      </c>
    </row>
    <row r="79" spans="1:12" x14ac:dyDescent="0.3">
      <c r="A79" s="8">
        <v>12</v>
      </c>
      <c r="B79" s="8" t="s">
        <v>18</v>
      </c>
      <c r="C79" s="2" t="s">
        <v>25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2</v>
      </c>
      <c r="K79">
        <v>2</v>
      </c>
      <c r="L79">
        <v>2</v>
      </c>
    </row>
    <row r="80" spans="1:12" x14ac:dyDescent="0.3">
      <c r="A80" s="8">
        <v>12</v>
      </c>
      <c r="B80" s="8" t="s">
        <v>18</v>
      </c>
      <c r="C80" t="s">
        <v>26</v>
      </c>
      <c r="D80">
        <v>2</v>
      </c>
      <c r="E80">
        <v>1</v>
      </c>
      <c r="F80">
        <v>2</v>
      </c>
      <c r="G80">
        <v>2</v>
      </c>
      <c r="H80">
        <v>3</v>
      </c>
      <c r="I80">
        <v>2</v>
      </c>
      <c r="J80">
        <v>3</v>
      </c>
      <c r="K80">
        <v>3</v>
      </c>
      <c r="L80">
        <v>3</v>
      </c>
    </row>
    <row r="81" spans="1:12" x14ac:dyDescent="0.3">
      <c r="A81" s="8">
        <v>12</v>
      </c>
      <c r="B81" s="8" t="s">
        <v>18</v>
      </c>
      <c r="C81" t="s">
        <v>27</v>
      </c>
      <c r="D81">
        <v>2</v>
      </c>
      <c r="E81">
        <v>3</v>
      </c>
      <c r="F81">
        <v>2</v>
      </c>
      <c r="G81">
        <v>3</v>
      </c>
      <c r="H81">
        <v>2</v>
      </c>
      <c r="I81">
        <v>2</v>
      </c>
      <c r="J81">
        <v>3</v>
      </c>
      <c r="K81">
        <v>3</v>
      </c>
      <c r="L81">
        <v>3</v>
      </c>
    </row>
    <row r="82" spans="1:12" x14ac:dyDescent="0.3">
      <c r="A82" s="8">
        <v>12</v>
      </c>
      <c r="B82" s="8" t="s">
        <v>18</v>
      </c>
      <c r="C82" t="s">
        <v>28</v>
      </c>
      <c r="D82">
        <v>3</v>
      </c>
      <c r="E82">
        <v>3</v>
      </c>
      <c r="F82">
        <v>3</v>
      </c>
      <c r="G82">
        <v>3</v>
      </c>
      <c r="H82">
        <v>3</v>
      </c>
      <c r="I82">
        <v>2</v>
      </c>
      <c r="J82">
        <v>3</v>
      </c>
      <c r="K82">
        <v>3</v>
      </c>
      <c r="L82">
        <v>3</v>
      </c>
    </row>
    <row r="83" spans="1:12" x14ac:dyDescent="0.3">
      <c r="A83" s="8">
        <v>12</v>
      </c>
      <c r="B83" s="8" t="s">
        <v>18</v>
      </c>
      <c r="C83" t="s">
        <v>30</v>
      </c>
      <c r="D83">
        <v>3</v>
      </c>
      <c r="E83">
        <v>2</v>
      </c>
      <c r="F83">
        <v>1</v>
      </c>
      <c r="G83">
        <v>2</v>
      </c>
      <c r="H83">
        <v>2</v>
      </c>
      <c r="I83">
        <v>0</v>
      </c>
      <c r="J83">
        <v>1</v>
      </c>
      <c r="K83">
        <v>3</v>
      </c>
      <c r="L83">
        <v>1</v>
      </c>
    </row>
    <row r="84" spans="1:12" x14ac:dyDescent="0.3">
      <c r="A84" s="8">
        <v>12</v>
      </c>
      <c r="B84" s="8" t="s">
        <v>18</v>
      </c>
      <c r="C84" t="s">
        <v>31</v>
      </c>
      <c r="D84">
        <v>2</v>
      </c>
      <c r="E84">
        <v>3</v>
      </c>
      <c r="F84">
        <v>2</v>
      </c>
      <c r="G84">
        <v>2</v>
      </c>
      <c r="H84">
        <v>3</v>
      </c>
      <c r="I84">
        <v>2</v>
      </c>
      <c r="J84">
        <v>2</v>
      </c>
      <c r="K84">
        <v>3</v>
      </c>
      <c r="L84">
        <v>2</v>
      </c>
    </row>
    <row r="85" spans="1:12" x14ac:dyDescent="0.3">
      <c r="A85" s="8">
        <v>12</v>
      </c>
      <c r="B85" s="8" t="s">
        <v>18</v>
      </c>
      <c r="C85" t="s">
        <v>32</v>
      </c>
      <c r="D85">
        <v>2</v>
      </c>
      <c r="E85">
        <v>2</v>
      </c>
      <c r="F85">
        <v>2</v>
      </c>
      <c r="G85">
        <v>2</v>
      </c>
      <c r="H85">
        <v>3</v>
      </c>
      <c r="I85">
        <v>1</v>
      </c>
      <c r="J85">
        <v>2</v>
      </c>
      <c r="K85">
        <v>3</v>
      </c>
      <c r="L85">
        <v>3</v>
      </c>
    </row>
    <row r="86" spans="1:12" x14ac:dyDescent="0.3">
      <c r="A86" s="8">
        <v>13</v>
      </c>
      <c r="B86" s="8" t="s">
        <v>20</v>
      </c>
      <c r="C86" s="2" t="s">
        <v>25</v>
      </c>
      <c r="D86">
        <v>3</v>
      </c>
      <c r="E86">
        <v>3</v>
      </c>
      <c r="F86">
        <v>3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</row>
    <row r="87" spans="1:12" x14ac:dyDescent="0.3">
      <c r="A87" s="8">
        <v>13</v>
      </c>
      <c r="B87" s="8" t="s">
        <v>20</v>
      </c>
      <c r="C87" t="s">
        <v>26</v>
      </c>
      <c r="D87">
        <v>3</v>
      </c>
      <c r="E87">
        <v>1</v>
      </c>
      <c r="F87">
        <v>1</v>
      </c>
      <c r="G87">
        <v>2</v>
      </c>
      <c r="H87">
        <v>2</v>
      </c>
      <c r="I87">
        <v>3</v>
      </c>
      <c r="J87">
        <v>3</v>
      </c>
      <c r="K87">
        <v>2</v>
      </c>
      <c r="L87">
        <v>3</v>
      </c>
    </row>
    <row r="88" spans="1:12" x14ac:dyDescent="0.3">
      <c r="A88" s="8">
        <v>13</v>
      </c>
      <c r="B88" s="8" t="s">
        <v>20</v>
      </c>
      <c r="C88" t="s">
        <v>27</v>
      </c>
      <c r="D88">
        <v>3</v>
      </c>
      <c r="E88">
        <v>3</v>
      </c>
      <c r="F88">
        <v>3</v>
      </c>
      <c r="G88">
        <v>3</v>
      </c>
      <c r="H88">
        <v>3</v>
      </c>
      <c r="I88">
        <v>2</v>
      </c>
      <c r="J88">
        <v>3</v>
      </c>
      <c r="K88">
        <v>3</v>
      </c>
      <c r="L88">
        <v>3</v>
      </c>
    </row>
    <row r="89" spans="1:12" x14ac:dyDescent="0.3">
      <c r="A89" s="8">
        <v>13</v>
      </c>
      <c r="B89" s="8" t="s">
        <v>20</v>
      </c>
      <c r="C89" t="s">
        <v>28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</row>
    <row r="90" spans="1:12" x14ac:dyDescent="0.3">
      <c r="A90" s="8">
        <v>13</v>
      </c>
      <c r="B90" s="8" t="s">
        <v>20</v>
      </c>
      <c r="C90" t="s">
        <v>30</v>
      </c>
      <c r="D90">
        <v>1</v>
      </c>
      <c r="E90">
        <v>3</v>
      </c>
      <c r="F90">
        <v>1</v>
      </c>
      <c r="G90">
        <v>1</v>
      </c>
      <c r="H90">
        <v>3</v>
      </c>
      <c r="I90">
        <v>0</v>
      </c>
      <c r="J90">
        <v>1</v>
      </c>
      <c r="K90">
        <v>2</v>
      </c>
      <c r="L90">
        <v>1</v>
      </c>
    </row>
    <row r="91" spans="1:12" x14ac:dyDescent="0.3">
      <c r="A91" s="8">
        <v>13</v>
      </c>
      <c r="B91" s="8" t="s">
        <v>20</v>
      </c>
      <c r="C91" t="s">
        <v>31</v>
      </c>
      <c r="D91">
        <v>3</v>
      </c>
      <c r="E91">
        <v>2</v>
      </c>
      <c r="F91">
        <v>2</v>
      </c>
      <c r="G91">
        <v>2</v>
      </c>
      <c r="H91">
        <v>2</v>
      </c>
      <c r="I91">
        <v>3</v>
      </c>
      <c r="J91">
        <v>2</v>
      </c>
      <c r="K91">
        <v>2</v>
      </c>
      <c r="L91">
        <v>2</v>
      </c>
    </row>
    <row r="92" spans="1:12" x14ac:dyDescent="0.3">
      <c r="A92" s="8">
        <v>13</v>
      </c>
      <c r="B92" s="8" t="s">
        <v>20</v>
      </c>
      <c r="C92" t="s">
        <v>32</v>
      </c>
      <c r="D92">
        <v>3</v>
      </c>
      <c r="E92">
        <v>2</v>
      </c>
      <c r="F92">
        <v>2</v>
      </c>
      <c r="G92">
        <v>2</v>
      </c>
      <c r="H92">
        <v>3</v>
      </c>
      <c r="I92">
        <v>1</v>
      </c>
      <c r="J92">
        <v>1</v>
      </c>
      <c r="K92">
        <v>1</v>
      </c>
      <c r="L92">
        <v>1</v>
      </c>
    </row>
    <row r="93" spans="1:12" x14ac:dyDescent="0.3">
      <c r="A93" s="8">
        <v>14</v>
      </c>
      <c r="B93" s="8" t="s">
        <v>22</v>
      </c>
      <c r="C93" s="2" t="s">
        <v>25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</row>
    <row r="94" spans="1:12" x14ac:dyDescent="0.3">
      <c r="A94" s="8">
        <v>14</v>
      </c>
      <c r="B94" s="8" t="s">
        <v>22</v>
      </c>
      <c r="C94" t="s">
        <v>26</v>
      </c>
      <c r="D94">
        <v>3</v>
      </c>
      <c r="E94">
        <v>2</v>
      </c>
      <c r="F94">
        <v>3</v>
      </c>
      <c r="G94">
        <v>3</v>
      </c>
      <c r="H94">
        <v>3</v>
      </c>
      <c r="I94">
        <v>3</v>
      </c>
      <c r="J94">
        <v>3</v>
      </c>
      <c r="K94">
        <v>2</v>
      </c>
      <c r="L94">
        <v>3</v>
      </c>
    </row>
    <row r="95" spans="1:12" x14ac:dyDescent="0.3">
      <c r="A95" s="8">
        <v>14</v>
      </c>
      <c r="B95" s="8" t="s">
        <v>22</v>
      </c>
      <c r="C95" t="s">
        <v>27</v>
      </c>
      <c r="D95">
        <v>3</v>
      </c>
      <c r="E95">
        <v>3</v>
      </c>
      <c r="F95">
        <v>3</v>
      </c>
      <c r="G95">
        <v>2</v>
      </c>
      <c r="H95">
        <v>3</v>
      </c>
      <c r="I95">
        <v>2</v>
      </c>
      <c r="J95">
        <v>3</v>
      </c>
      <c r="K95">
        <v>3</v>
      </c>
      <c r="L95">
        <v>3</v>
      </c>
    </row>
    <row r="96" spans="1:12" x14ac:dyDescent="0.3">
      <c r="A96" s="8">
        <v>14</v>
      </c>
      <c r="B96" s="8" t="s">
        <v>22</v>
      </c>
      <c r="C96" t="s">
        <v>28</v>
      </c>
      <c r="D96">
        <v>3</v>
      </c>
      <c r="E96">
        <v>3</v>
      </c>
      <c r="F96">
        <v>3</v>
      </c>
      <c r="G96">
        <v>3</v>
      </c>
      <c r="H96">
        <v>3</v>
      </c>
      <c r="I96">
        <v>2</v>
      </c>
      <c r="J96">
        <v>3</v>
      </c>
      <c r="K96">
        <v>3</v>
      </c>
      <c r="L96">
        <v>3</v>
      </c>
    </row>
    <row r="97" spans="1:12" x14ac:dyDescent="0.3">
      <c r="A97" s="8">
        <v>14</v>
      </c>
      <c r="B97" s="8" t="s">
        <v>22</v>
      </c>
      <c r="C97" t="s">
        <v>30</v>
      </c>
      <c r="D97">
        <v>3</v>
      </c>
      <c r="E97">
        <v>2</v>
      </c>
      <c r="F97">
        <v>3</v>
      </c>
      <c r="G97">
        <v>2</v>
      </c>
      <c r="H97">
        <v>3</v>
      </c>
      <c r="I97">
        <v>2</v>
      </c>
      <c r="J97">
        <v>3</v>
      </c>
      <c r="K97">
        <v>3</v>
      </c>
      <c r="L97">
        <v>3</v>
      </c>
    </row>
    <row r="98" spans="1:12" x14ac:dyDescent="0.3">
      <c r="A98" s="8">
        <v>14</v>
      </c>
      <c r="B98" s="8" t="s">
        <v>22</v>
      </c>
      <c r="C98" t="s">
        <v>31</v>
      </c>
      <c r="D98">
        <v>3</v>
      </c>
      <c r="E98">
        <v>2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</row>
    <row r="99" spans="1:12" x14ac:dyDescent="0.3">
      <c r="A99" s="8">
        <v>14</v>
      </c>
      <c r="B99" s="8" t="s">
        <v>22</v>
      </c>
      <c r="C99" t="s">
        <v>32</v>
      </c>
      <c r="D99">
        <v>3</v>
      </c>
      <c r="E99">
        <v>3</v>
      </c>
      <c r="F99">
        <v>3</v>
      </c>
      <c r="G99">
        <v>2</v>
      </c>
      <c r="H99">
        <v>3</v>
      </c>
      <c r="I99">
        <v>2</v>
      </c>
      <c r="J99">
        <v>3</v>
      </c>
      <c r="K99">
        <v>3</v>
      </c>
      <c r="L99">
        <v>3</v>
      </c>
    </row>
    <row r="100" spans="1:12" x14ac:dyDescent="0.3">
      <c r="A100" s="8">
        <v>15</v>
      </c>
      <c r="B100" s="8" t="s">
        <v>37</v>
      </c>
      <c r="C100" s="2" t="s">
        <v>25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1</v>
      </c>
      <c r="J100">
        <v>2</v>
      </c>
      <c r="K100">
        <v>2</v>
      </c>
      <c r="L100">
        <v>2</v>
      </c>
    </row>
    <row r="101" spans="1:12" x14ac:dyDescent="0.3">
      <c r="A101" s="8">
        <v>15</v>
      </c>
      <c r="B101" s="8" t="s">
        <v>37</v>
      </c>
      <c r="C101" t="s">
        <v>26</v>
      </c>
      <c r="D101">
        <v>1</v>
      </c>
      <c r="E101">
        <v>1</v>
      </c>
      <c r="F101">
        <v>1</v>
      </c>
      <c r="G101">
        <v>3</v>
      </c>
      <c r="H101">
        <v>3</v>
      </c>
      <c r="I101">
        <v>0</v>
      </c>
      <c r="J101">
        <v>3</v>
      </c>
      <c r="K101">
        <v>3</v>
      </c>
      <c r="L101">
        <v>3</v>
      </c>
    </row>
    <row r="102" spans="1:12" x14ac:dyDescent="0.3">
      <c r="A102" s="8">
        <v>15</v>
      </c>
      <c r="B102" s="8" t="s">
        <v>37</v>
      </c>
      <c r="C102" t="s">
        <v>27</v>
      </c>
      <c r="D102">
        <v>3</v>
      </c>
      <c r="E102">
        <v>3</v>
      </c>
      <c r="F102">
        <v>1</v>
      </c>
      <c r="G102">
        <v>3</v>
      </c>
      <c r="H102">
        <v>3</v>
      </c>
      <c r="I102">
        <v>0</v>
      </c>
      <c r="J102">
        <v>3</v>
      </c>
      <c r="K102">
        <v>3</v>
      </c>
      <c r="L102">
        <v>3</v>
      </c>
    </row>
    <row r="103" spans="1:12" x14ac:dyDescent="0.3">
      <c r="A103" s="8">
        <v>15</v>
      </c>
      <c r="B103" s="8" t="s">
        <v>37</v>
      </c>
      <c r="C103" t="s">
        <v>28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1</v>
      </c>
      <c r="J103">
        <v>3</v>
      </c>
      <c r="K103">
        <v>3</v>
      </c>
      <c r="L103">
        <v>3</v>
      </c>
    </row>
    <row r="104" spans="1:12" x14ac:dyDescent="0.3">
      <c r="A104" s="8">
        <v>15</v>
      </c>
      <c r="B104" s="8" t="s">
        <v>37</v>
      </c>
      <c r="C104" t="s">
        <v>30</v>
      </c>
      <c r="D104">
        <v>2</v>
      </c>
      <c r="E104">
        <v>2</v>
      </c>
      <c r="F104">
        <v>1</v>
      </c>
      <c r="G104">
        <v>3</v>
      </c>
      <c r="H104">
        <v>3</v>
      </c>
      <c r="I104">
        <v>0</v>
      </c>
      <c r="J104">
        <v>3</v>
      </c>
      <c r="K104">
        <v>3</v>
      </c>
      <c r="L104">
        <v>1</v>
      </c>
    </row>
    <row r="105" spans="1:12" x14ac:dyDescent="0.3">
      <c r="A105" s="8">
        <v>15</v>
      </c>
      <c r="B105" s="8" t="s">
        <v>37</v>
      </c>
      <c r="C105" t="s">
        <v>31</v>
      </c>
      <c r="D105">
        <v>1</v>
      </c>
      <c r="E105">
        <v>2</v>
      </c>
      <c r="F105">
        <v>1</v>
      </c>
      <c r="G105">
        <v>3</v>
      </c>
      <c r="H105">
        <v>3</v>
      </c>
      <c r="I105">
        <v>0</v>
      </c>
      <c r="J105">
        <v>3</v>
      </c>
      <c r="K105">
        <v>2</v>
      </c>
      <c r="L105">
        <v>1</v>
      </c>
    </row>
    <row r="106" spans="1:12" x14ac:dyDescent="0.3">
      <c r="A106" s="8">
        <v>15</v>
      </c>
      <c r="B106" s="8" t="s">
        <v>37</v>
      </c>
      <c r="C106" t="s">
        <v>32</v>
      </c>
      <c r="D106">
        <v>2</v>
      </c>
      <c r="E106">
        <v>2</v>
      </c>
      <c r="F106">
        <v>1</v>
      </c>
      <c r="G106">
        <v>3</v>
      </c>
      <c r="H106">
        <v>3</v>
      </c>
      <c r="I106">
        <v>0</v>
      </c>
      <c r="J106">
        <v>3</v>
      </c>
      <c r="K106">
        <v>3</v>
      </c>
      <c r="L106">
        <v>1</v>
      </c>
    </row>
    <row r="107" spans="1:12" x14ac:dyDescent="0.3">
      <c r="A107" s="8">
        <v>16</v>
      </c>
      <c r="B107" s="8" t="s">
        <v>2</v>
      </c>
      <c r="C107" s="2" t="s">
        <v>25</v>
      </c>
      <c r="D107">
        <v>3</v>
      </c>
      <c r="E107">
        <v>3</v>
      </c>
      <c r="F107">
        <v>3</v>
      </c>
      <c r="G107">
        <v>1</v>
      </c>
      <c r="H107">
        <v>1</v>
      </c>
      <c r="I107">
        <v>1</v>
      </c>
      <c r="J107">
        <v>3</v>
      </c>
      <c r="K107">
        <v>3</v>
      </c>
      <c r="L107">
        <v>3</v>
      </c>
    </row>
    <row r="108" spans="1:12" x14ac:dyDescent="0.3">
      <c r="A108" s="8">
        <v>16</v>
      </c>
      <c r="B108" s="8" t="s">
        <v>2</v>
      </c>
      <c r="C108" t="s">
        <v>26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1</v>
      </c>
      <c r="J108">
        <v>3</v>
      </c>
      <c r="K108">
        <v>3</v>
      </c>
      <c r="L108">
        <v>3</v>
      </c>
    </row>
    <row r="109" spans="1:12" x14ac:dyDescent="0.3">
      <c r="A109" s="8">
        <v>16</v>
      </c>
      <c r="B109" s="8" t="s">
        <v>2</v>
      </c>
      <c r="C109" t="s">
        <v>27</v>
      </c>
      <c r="D109">
        <v>3</v>
      </c>
      <c r="E109">
        <v>3</v>
      </c>
      <c r="F109">
        <v>1</v>
      </c>
      <c r="G109">
        <v>3</v>
      </c>
      <c r="H109">
        <v>3</v>
      </c>
      <c r="I109">
        <v>0</v>
      </c>
      <c r="J109">
        <v>3</v>
      </c>
      <c r="K109">
        <v>3</v>
      </c>
      <c r="L109">
        <v>1</v>
      </c>
    </row>
    <row r="110" spans="1:12" x14ac:dyDescent="0.3">
      <c r="A110" s="8">
        <v>16</v>
      </c>
      <c r="B110" s="8" t="s">
        <v>2</v>
      </c>
      <c r="C110" t="s">
        <v>28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2</v>
      </c>
      <c r="J110">
        <v>3</v>
      </c>
      <c r="K110">
        <v>3</v>
      </c>
      <c r="L110">
        <v>2</v>
      </c>
    </row>
    <row r="111" spans="1:12" x14ac:dyDescent="0.3">
      <c r="A111" s="8">
        <v>16</v>
      </c>
      <c r="B111" s="8" t="s">
        <v>2</v>
      </c>
      <c r="C111" t="s">
        <v>30</v>
      </c>
      <c r="D111">
        <v>3</v>
      </c>
      <c r="E111">
        <v>3</v>
      </c>
      <c r="F111">
        <v>2</v>
      </c>
      <c r="G111">
        <v>2</v>
      </c>
      <c r="H111">
        <v>2</v>
      </c>
      <c r="I111">
        <v>1</v>
      </c>
      <c r="J111">
        <v>3</v>
      </c>
      <c r="K111">
        <v>3</v>
      </c>
      <c r="L111">
        <v>2</v>
      </c>
    </row>
    <row r="112" spans="1:12" x14ac:dyDescent="0.3">
      <c r="A112" s="8">
        <v>16</v>
      </c>
      <c r="B112" s="8" t="s">
        <v>2</v>
      </c>
      <c r="C112" t="s">
        <v>31</v>
      </c>
      <c r="D112">
        <v>3</v>
      </c>
      <c r="E112">
        <v>2</v>
      </c>
      <c r="F112">
        <v>3</v>
      </c>
      <c r="G112">
        <v>3</v>
      </c>
      <c r="H112">
        <v>2</v>
      </c>
      <c r="I112">
        <v>2</v>
      </c>
      <c r="J112">
        <v>3</v>
      </c>
      <c r="K112">
        <v>2</v>
      </c>
      <c r="L112">
        <v>2</v>
      </c>
    </row>
    <row r="113" spans="1:12" x14ac:dyDescent="0.3">
      <c r="A113" s="8">
        <v>16</v>
      </c>
      <c r="B113" s="8" t="s">
        <v>2</v>
      </c>
      <c r="C113" t="s">
        <v>32</v>
      </c>
      <c r="D113">
        <v>3</v>
      </c>
      <c r="E113">
        <v>3</v>
      </c>
      <c r="F113">
        <v>0</v>
      </c>
      <c r="G113">
        <v>3</v>
      </c>
      <c r="H113">
        <v>2</v>
      </c>
      <c r="I113">
        <v>0</v>
      </c>
      <c r="J113">
        <v>3</v>
      </c>
      <c r="K113">
        <v>2</v>
      </c>
      <c r="L113">
        <v>1</v>
      </c>
    </row>
    <row r="114" spans="1:12" x14ac:dyDescent="0.3">
      <c r="A114" s="8">
        <v>17</v>
      </c>
      <c r="B114" s="8" t="s">
        <v>38</v>
      </c>
      <c r="C114" s="2" t="s">
        <v>25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2</v>
      </c>
      <c r="L114">
        <v>2</v>
      </c>
    </row>
    <row r="115" spans="1:12" x14ac:dyDescent="0.3">
      <c r="A115" s="8">
        <v>17</v>
      </c>
      <c r="B115" s="8" t="s">
        <v>38</v>
      </c>
      <c r="C115" t="s">
        <v>26</v>
      </c>
      <c r="D115">
        <v>3</v>
      </c>
      <c r="E115">
        <v>2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2</v>
      </c>
      <c r="L115">
        <v>3</v>
      </c>
    </row>
    <row r="116" spans="1:12" x14ac:dyDescent="0.3">
      <c r="A116" s="8">
        <v>17</v>
      </c>
      <c r="B116" s="8" t="s">
        <v>38</v>
      </c>
      <c r="C116" t="s">
        <v>27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2</v>
      </c>
      <c r="L116">
        <v>3</v>
      </c>
    </row>
    <row r="117" spans="1:12" x14ac:dyDescent="0.3">
      <c r="A117" s="8">
        <v>17</v>
      </c>
      <c r="B117" s="8" t="s">
        <v>38</v>
      </c>
      <c r="C117" t="s">
        <v>28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2</v>
      </c>
      <c r="L117">
        <v>3</v>
      </c>
    </row>
    <row r="118" spans="1:12" x14ac:dyDescent="0.3">
      <c r="A118" s="8">
        <v>17</v>
      </c>
      <c r="B118" s="8" t="s">
        <v>38</v>
      </c>
      <c r="C118" t="s">
        <v>30</v>
      </c>
      <c r="D118">
        <v>2</v>
      </c>
      <c r="E118">
        <v>3</v>
      </c>
      <c r="F118">
        <v>1</v>
      </c>
      <c r="G118">
        <v>3</v>
      </c>
      <c r="H118">
        <v>3</v>
      </c>
      <c r="I118">
        <v>1</v>
      </c>
      <c r="J118">
        <v>3</v>
      </c>
      <c r="K118">
        <v>2</v>
      </c>
      <c r="L118">
        <v>1</v>
      </c>
    </row>
    <row r="119" spans="1:12" x14ac:dyDescent="0.3">
      <c r="A119" s="8">
        <v>17</v>
      </c>
      <c r="B119" s="8" t="s">
        <v>38</v>
      </c>
      <c r="C119" t="s">
        <v>31</v>
      </c>
      <c r="D119">
        <v>2</v>
      </c>
      <c r="E119">
        <v>1</v>
      </c>
      <c r="F119">
        <v>2</v>
      </c>
      <c r="G119">
        <v>3</v>
      </c>
      <c r="H119">
        <v>1</v>
      </c>
      <c r="I119">
        <v>3</v>
      </c>
      <c r="J119">
        <v>2</v>
      </c>
      <c r="K119">
        <v>1</v>
      </c>
      <c r="L119">
        <v>3</v>
      </c>
    </row>
    <row r="120" spans="1:12" x14ac:dyDescent="0.3">
      <c r="A120" s="8">
        <v>17</v>
      </c>
      <c r="B120" s="8" t="s">
        <v>38</v>
      </c>
      <c r="C120" t="s">
        <v>32</v>
      </c>
      <c r="D120">
        <v>3</v>
      </c>
      <c r="E120">
        <v>1</v>
      </c>
      <c r="F120">
        <v>3</v>
      </c>
      <c r="G120">
        <v>3</v>
      </c>
      <c r="H120">
        <v>1</v>
      </c>
      <c r="I120">
        <v>3</v>
      </c>
      <c r="J120">
        <v>3</v>
      </c>
      <c r="K120">
        <v>2</v>
      </c>
      <c r="L120">
        <v>2</v>
      </c>
    </row>
    <row r="121" spans="1:12" x14ac:dyDescent="0.3">
      <c r="A121" s="8">
        <v>18</v>
      </c>
      <c r="B121" s="8" t="s">
        <v>3</v>
      </c>
      <c r="C121" s="2" t="s">
        <v>25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</row>
    <row r="122" spans="1:12" x14ac:dyDescent="0.3">
      <c r="A122" s="8">
        <v>18</v>
      </c>
      <c r="B122" s="8" t="s">
        <v>3</v>
      </c>
      <c r="C122" t="s">
        <v>26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</row>
    <row r="123" spans="1:12" x14ac:dyDescent="0.3">
      <c r="A123" s="8">
        <v>18</v>
      </c>
      <c r="B123" s="8" t="s">
        <v>3</v>
      </c>
      <c r="C123" t="s">
        <v>27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</row>
    <row r="124" spans="1:12" x14ac:dyDescent="0.3">
      <c r="A124" s="8">
        <v>18</v>
      </c>
      <c r="B124" s="8" t="s">
        <v>3</v>
      </c>
      <c r="C124" t="s">
        <v>28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</row>
    <row r="125" spans="1:12" x14ac:dyDescent="0.3">
      <c r="A125" s="8">
        <v>18</v>
      </c>
      <c r="B125" s="8" t="s">
        <v>3</v>
      </c>
      <c r="C125" t="s">
        <v>30</v>
      </c>
      <c r="D125">
        <v>3</v>
      </c>
      <c r="E125">
        <v>3</v>
      </c>
      <c r="F125">
        <v>2</v>
      </c>
      <c r="G125">
        <v>2</v>
      </c>
      <c r="H125">
        <v>3</v>
      </c>
      <c r="I125">
        <v>3</v>
      </c>
      <c r="J125">
        <v>3</v>
      </c>
      <c r="K125">
        <v>3</v>
      </c>
      <c r="L125">
        <v>1</v>
      </c>
    </row>
    <row r="126" spans="1:12" x14ac:dyDescent="0.3">
      <c r="A126" s="8">
        <v>18</v>
      </c>
      <c r="B126" s="8" t="s">
        <v>3</v>
      </c>
      <c r="C126" t="s">
        <v>31</v>
      </c>
      <c r="D126">
        <v>3</v>
      </c>
      <c r="E126">
        <v>3</v>
      </c>
      <c r="F126">
        <v>3</v>
      </c>
      <c r="G126">
        <v>2</v>
      </c>
      <c r="H126">
        <v>2</v>
      </c>
      <c r="I126">
        <v>2</v>
      </c>
      <c r="J126">
        <v>3</v>
      </c>
      <c r="K126">
        <v>2</v>
      </c>
      <c r="L126">
        <v>3</v>
      </c>
    </row>
    <row r="127" spans="1:12" x14ac:dyDescent="0.3">
      <c r="A127" s="8">
        <v>18</v>
      </c>
      <c r="B127" s="8" t="s">
        <v>3</v>
      </c>
      <c r="C127" t="s">
        <v>32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2</v>
      </c>
    </row>
    <row r="128" spans="1:12" x14ac:dyDescent="0.3">
      <c r="A128" s="8">
        <v>19</v>
      </c>
      <c r="B128" s="8" t="s">
        <v>5</v>
      </c>
      <c r="C128" s="2" t="s">
        <v>25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</row>
    <row r="129" spans="1:12" x14ac:dyDescent="0.3">
      <c r="A129" s="8">
        <v>19</v>
      </c>
      <c r="B129" s="8" t="s">
        <v>5</v>
      </c>
      <c r="C129" t="s">
        <v>26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</row>
    <row r="130" spans="1:12" x14ac:dyDescent="0.3">
      <c r="A130" s="8">
        <v>19</v>
      </c>
      <c r="B130" s="8" t="s">
        <v>5</v>
      </c>
      <c r="C130" t="s">
        <v>27</v>
      </c>
      <c r="D130">
        <v>1</v>
      </c>
      <c r="E130">
        <v>3</v>
      </c>
      <c r="F130">
        <v>1</v>
      </c>
      <c r="G130">
        <v>1</v>
      </c>
      <c r="H130">
        <v>3</v>
      </c>
      <c r="I130">
        <v>1</v>
      </c>
      <c r="J130">
        <v>1</v>
      </c>
      <c r="K130">
        <v>3</v>
      </c>
      <c r="L130">
        <v>1</v>
      </c>
    </row>
    <row r="131" spans="1:12" x14ac:dyDescent="0.3">
      <c r="A131" s="8">
        <v>19</v>
      </c>
      <c r="B131" s="8" t="s">
        <v>5</v>
      </c>
      <c r="C131" t="s">
        <v>28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</row>
    <row r="132" spans="1:12" x14ac:dyDescent="0.3">
      <c r="A132" s="8">
        <v>19</v>
      </c>
      <c r="B132" s="8" t="s">
        <v>5</v>
      </c>
      <c r="C132" t="s">
        <v>30</v>
      </c>
      <c r="D132">
        <v>3</v>
      </c>
      <c r="E132">
        <v>3</v>
      </c>
      <c r="F132">
        <v>2</v>
      </c>
      <c r="G132">
        <v>2</v>
      </c>
      <c r="H132">
        <v>3</v>
      </c>
      <c r="I132">
        <v>2</v>
      </c>
      <c r="J132">
        <v>1</v>
      </c>
      <c r="K132">
        <v>3</v>
      </c>
      <c r="L132">
        <v>2</v>
      </c>
    </row>
    <row r="133" spans="1:12" x14ac:dyDescent="0.3">
      <c r="A133" s="8">
        <v>19</v>
      </c>
      <c r="B133" s="8" t="s">
        <v>5</v>
      </c>
      <c r="C133" t="s">
        <v>31</v>
      </c>
      <c r="D133">
        <v>3</v>
      </c>
      <c r="E133">
        <v>2</v>
      </c>
      <c r="F133">
        <v>3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1</v>
      </c>
    </row>
    <row r="134" spans="1:12" x14ac:dyDescent="0.3">
      <c r="A134" s="8">
        <v>19</v>
      </c>
      <c r="B134" s="8" t="s">
        <v>5</v>
      </c>
      <c r="C134" t="s">
        <v>32</v>
      </c>
      <c r="D134">
        <v>2</v>
      </c>
      <c r="E134">
        <v>3</v>
      </c>
      <c r="F134">
        <v>2</v>
      </c>
      <c r="G134">
        <v>1</v>
      </c>
      <c r="H134">
        <v>2</v>
      </c>
      <c r="I134">
        <v>1</v>
      </c>
      <c r="J134">
        <v>1</v>
      </c>
      <c r="K134">
        <v>2</v>
      </c>
      <c r="L134">
        <v>1</v>
      </c>
    </row>
    <row r="135" spans="1:12" x14ac:dyDescent="0.3">
      <c r="A135" s="8">
        <v>20</v>
      </c>
      <c r="B135" s="8" t="s">
        <v>6</v>
      </c>
      <c r="C135" s="2" t="s">
        <v>25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3</v>
      </c>
      <c r="K135">
        <v>3</v>
      </c>
      <c r="L135">
        <v>3</v>
      </c>
    </row>
    <row r="136" spans="1:12" x14ac:dyDescent="0.3">
      <c r="A136" s="8">
        <v>20</v>
      </c>
      <c r="B136" s="8" t="s">
        <v>6</v>
      </c>
      <c r="C136" t="s">
        <v>26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</row>
    <row r="137" spans="1:12" x14ac:dyDescent="0.3">
      <c r="A137" s="8">
        <v>20</v>
      </c>
      <c r="B137" s="8" t="s">
        <v>6</v>
      </c>
      <c r="C137" t="s">
        <v>27</v>
      </c>
      <c r="D137">
        <v>3</v>
      </c>
      <c r="E137">
        <v>2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</row>
    <row r="138" spans="1:12" x14ac:dyDescent="0.3">
      <c r="A138" s="8">
        <v>20</v>
      </c>
      <c r="B138" s="8" t="s">
        <v>6</v>
      </c>
      <c r="C138" t="s">
        <v>28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3</v>
      </c>
      <c r="L138">
        <v>3</v>
      </c>
    </row>
    <row r="139" spans="1:12" x14ac:dyDescent="0.3">
      <c r="A139" s="8">
        <v>20</v>
      </c>
      <c r="B139" s="8" t="s">
        <v>6</v>
      </c>
      <c r="C139" t="s">
        <v>30</v>
      </c>
      <c r="D139">
        <v>2</v>
      </c>
      <c r="E139">
        <v>3</v>
      </c>
      <c r="F139">
        <v>1</v>
      </c>
      <c r="G139">
        <v>3</v>
      </c>
      <c r="H139">
        <v>3</v>
      </c>
      <c r="I139">
        <v>1</v>
      </c>
      <c r="J139">
        <v>1</v>
      </c>
      <c r="K139">
        <v>3</v>
      </c>
      <c r="L139">
        <v>1</v>
      </c>
    </row>
    <row r="140" spans="1:12" x14ac:dyDescent="0.3">
      <c r="A140" s="8">
        <v>20</v>
      </c>
      <c r="B140" s="8" t="s">
        <v>6</v>
      </c>
      <c r="C140" t="s">
        <v>31</v>
      </c>
      <c r="D140">
        <v>3</v>
      </c>
      <c r="E140">
        <v>2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</row>
    <row r="141" spans="1:12" x14ac:dyDescent="0.3">
      <c r="A141" s="8">
        <v>20</v>
      </c>
      <c r="B141" s="8" t="s">
        <v>6</v>
      </c>
      <c r="C141" t="s">
        <v>32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</row>
    <row r="142" spans="1:12" x14ac:dyDescent="0.3">
      <c r="A142" s="8">
        <v>21</v>
      </c>
      <c r="B142" s="8" t="s">
        <v>8</v>
      </c>
      <c r="C142" s="2" t="s">
        <v>25</v>
      </c>
      <c r="D142">
        <v>3</v>
      </c>
      <c r="E142">
        <v>3</v>
      </c>
      <c r="F142">
        <v>3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</row>
    <row r="143" spans="1:12" x14ac:dyDescent="0.3">
      <c r="A143" s="8">
        <v>21</v>
      </c>
      <c r="B143" s="8" t="s">
        <v>8</v>
      </c>
      <c r="C143" t="s">
        <v>26</v>
      </c>
      <c r="D143">
        <v>3</v>
      </c>
      <c r="E143">
        <v>2</v>
      </c>
      <c r="F143">
        <v>3</v>
      </c>
      <c r="G143">
        <v>3</v>
      </c>
      <c r="H143">
        <v>2</v>
      </c>
      <c r="I143">
        <v>3</v>
      </c>
      <c r="J143">
        <v>3</v>
      </c>
      <c r="K143">
        <v>2</v>
      </c>
      <c r="L143">
        <v>3</v>
      </c>
    </row>
    <row r="144" spans="1:12" x14ac:dyDescent="0.3">
      <c r="A144" s="8">
        <v>21</v>
      </c>
      <c r="B144" s="8" t="s">
        <v>8</v>
      </c>
      <c r="C144" t="s">
        <v>27</v>
      </c>
      <c r="D144">
        <v>3</v>
      </c>
      <c r="E144">
        <v>3</v>
      </c>
      <c r="F144">
        <v>1</v>
      </c>
      <c r="G144">
        <v>3</v>
      </c>
      <c r="H144">
        <v>3</v>
      </c>
      <c r="I144">
        <v>1</v>
      </c>
      <c r="J144">
        <v>3</v>
      </c>
      <c r="K144">
        <v>3</v>
      </c>
      <c r="L144">
        <v>1</v>
      </c>
    </row>
    <row r="145" spans="1:12" x14ac:dyDescent="0.3">
      <c r="A145" s="8">
        <v>21</v>
      </c>
      <c r="B145" s="8" t="s">
        <v>8</v>
      </c>
      <c r="C145" t="s">
        <v>28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2</v>
      </c>
      <c r="J145">
        <v>3</v>
      </c>
      <c r="K145">
        <v>2</v>
      </c>
      <c r="L145">
        <v>1</v>
      </c>
    </row>
    <row r="146" spans="1:12" x14ac:dyDescent="0.3">
      <c r="A146" s="8">
        <v>21</v>
      </c>
      <c r="B146" s="8" t="s">
        <v>8</v>
      </c>
      <c r="C146" t="s">
        <v>30</v>
      </c>
      <c r="D146">
        <v>3</v>
      </c>
      <c r="E146">
        <v>3</v>
      </c>
      <c r="F146">
        <v>1</v>
      </c>
      <c r="G146">
        <v>3</v>
      </c>
      <c r="H146">
        <v>2</v>
      </c>
      <c r="I146">
        <v>1</v>
      </c>
      <c r="J146">
        <v>1</v>
      </c>
      <c r="K146">
        <v>2</v>
      </c>
      <c r="L146">
        <v>2</v>
      </c>
    </row>
    <row r="147" spans="1:12" x14ac:dyDescent="0.3">
      <c r="A147" s="8">
        <v>21</v>
      </c>
      <c r="B147" s="8" t="s">
        <v>8</v>
      </c>
      <c r="C147" t="s">
        <v>31</v>
      </c>
      <c r="D147">
        <v>3</v>
      </c>
      <c r="E147">
        <v>2</v>
      </c>
      <c r="F147">
        <v>2</v>
      </c>
      <c r="G147">
        <v>3</v>
      </c>
      <c r="H147">
        <v>2</v>
      </c>
      <c r="I147">
        <v>2</v>
      </c>
      <c r="J147">
        <v>2</v>
      </c>
      <c r="K147">
        <v>2</v>
      </c>
      <c r="L147">
        <v>1</v>
      </c>
    </row>
    <row r="148" spans="1:12" x14ac:dyDescent="0.3">
      <c r="A148" s="8">
        <v>21</v>
      </c>
      <c r="B148" s="8" t="s">
        <v>8</v>
      </c>
      <c r="C148" t="s">
        <v>32</v>
      </c>
      <c r="D148">
        <v>3</v>
      </c>
      <c r="E148">
        <v>2</v>
      </c>
      <c r="F148">
        <v>1</v>
      </c>
      <c r="G148">
        <v>3</v>
      </c>
      <c r="H148">
        <v>2</v>
      </c>
      <c r="I148">
        <v>1</v>
      </c>
      <c r="J148">
        <v>2</v>
      </c>
      <c r="K148">
        <v>1</v>
      </c>
      <c r="L148">
        <v>1</v>
      </c>
    </row>
    <row r="149" spans="1:12" x14ac:dyDescent="0.3">
      <c r="A149" s="8">
        <v>22</v>
      </c>
      <c r="B149" s="8" t="s">
        <v>10</v>
      </c>
      <c r="C149" s="2" t="s">
        <v>25</v>
      </c>
      <c r="D149">
        <v>2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2</v>
      </c>
      <c r="K149">
        <v>2</v>
      </c>
      <c r="L149">
        <v>2</v>
      </c>
    </row>
    <row r="150" spans="1:12" x14ac:dyDescent="0.3">
      <c r="A150" s="8">
        <v>22</v>
      </c>
      <c r="B150" s="8" t="s">
        <v>10</v>
      </c>
      <c r="C150" t="s">
        <v>26</v>
      </c>
      <c r="D150">
        <v>3</v>
      </c>
      <c r="E150">
        <v>3</v>
      </c>
      <c r="F150">
        <v>3</v>
      </c>
      <c r="G150">
        <v>3</v>
      </c>
      <c r="H150">
        <v>2</v>
      </c>
      <c r="I150">
        <v>3</v>
      </c>
      <c r="J150">
        <v>3</v>
      </c>
      <c r="K150">
        <v>2</v>
      </c>
      <c r="L150">
        <v>3</v>
      </c>
    </row>
    <row r="151" spans="1:12" x14ac:dyDescent="0.3">
      <c r="A151" s="8">
        <v>22</v>
      </c>
      <c r="B151" s="8" t="s">
        <v>10</v>
      </c>
      <c r="C151" t="s">
        <v>27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2</v>
      </c>
      <c r="L151">
        <v>3</v>
      </c>
    </row>
    <row r="152" spans="1:12" x14ac:dyDescent="0.3">
      <c r="A152" s="8">
        <v>22</v>
      </c>
      <c r="B152" s="8" t="s">
        <v>10</v>
      </c>
      <c r="C152" t="s">
        <v>28</v>
      </c>
      <c r="D152">
        <v>3</v>
      </c>
      <c r="E152">
        <v>3</v>
      </c>
      <c r="F152">
        <v>3</v>
      </c>
      <c r="G152">
        <v>3</v>
      </c>
      <c r="H152">
        <v>2</v>
      </c>
      <c r="I152">
        <v>3</v>
      </c>
      <c r="J152">
        <v>3</v>
      </c>
      <c r="K152">
        <v>1</v>
      </c>
      <c r="L152">
        <v>3</v>
      </c>
    </row>
    <row r="153" spans="1:12" x14ac:dyDescent="0.3">
      <c r="A153" s="8">
        <v>22</v>
      </c>
      <c r="B153" s="8" t="s">
        <v>10</v>
      </c>
      <c r="C153" t="s">
        <v>30</v>
      </c>
      <c r="D153">
        <v>3</v>
      </c>
      <c r="E153">
        <v>3</v>
      </c>
      <c r="F153">
        <v>1</v>
      </c>
      <c r="G153">
        <v>2</v>
      </c>
      <c r="H153">
        <v>2</v>
      </c>
      <c r="I153">
        <v>1</v>
      </c>
      <c r="J153">
        <v>3</v>
      </c>
      <c r="K153">
        <v>2</v>
      </c>
      <c r="L153">
        <v>1</v>
      </c>
    </row>
    <row r="154" spans="1:12" x14ac:dyDescent="0.3">
      <c r="A154" s="8">
        <v>22</v>
      </c>
      <c r="B154" s="8" t="s">
        <v>10</v>
      </c>
      <c r="C154" t="s">
        <v>31</v>
      </c>
      <c r="D154">
        <v>3</v>
      </c>
      <c r="E154">
        <v>1</v>
      </c>
      <c r="F154">
        <v>3</v>
      </c>
      <c r="G154">
        <v>3</v>
      </c>
      <c r="H154">
        <v>1</v>
      </c>
      <c r="I154">
        <v>3</v>
      </c>
      <c r="J154">
        <v>3</v>
      </c>
      <c r="K154">
        <v>1</v>
      </c>
      <c r="L154">
        <v>3</v>
      </c>
    </row>
    <row r="155" spans="1:12" x14ac:dyDescent="0.3">
      <c r="A155" s="8">
        <v>22</v>
      </c>
      <c r="B155" s="8" t="s">
        <v>10</v>
      </c>
      <c r="C155" t="s">
        <v>32</v>
      </c>
      <c r="D155">
        <v>3</v>
      </c>
      <c r="E155">
        <v>1</v>
      </c>
      <c r="F155">
        <v>3</v>
      </c>
      <c r="G155">
        <v>3</v>
      </c>
      <c r="H155">
        <v>1</v>
      </c>
      <c r="I155">
        <v>3</v>
      </c>
      <c r="J155">
        <v>3</v>
      </c>
      <c r="K155">
        <v>1</v>
      </c>
      <c r="L155">
        <v>2</v>
      </c>
    </row>
    <row r="156" spans="1:12" x14ac:dyDescent="0.3">
      <c r="A156" s="8">
        <v>23</v>
      </c>
      <c r="B156" s="8" t="s">
        <v>12</v>
      </c>
      <c r="C156" s="2" t="s">
        <v>25</v>
      </c>
      <c r="D156">
        <v>2</v>
      </c>
      <c r="E156">
        <v>2</v>
      </c>
      <c r="F156">
        <v>2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</row>
    <row r="157" spans="1:12" x14ac:dyDescent="0.3">
      <c r="A157" s="8">
        <v>23</v>
      </c>
      <c r="B157" s="8" t="s">
        <v>12</v>
      </c>
      <c r="C157" t="s">
        <v>26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</row>
    <row r="158" spans="1:12" x14ac:dyDescent="0.3">
      <c r="A158" s="8">
        <v>23</v>
      </c>
      <c r="B158" s="8" t="s">
        <v>12</v>
      </c>
      <c r="C158" t="s">
        <v>27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1</v>
      </c>
      <c r="L158">
        <v>3</v>
      </c>
    </row>
    <row r="159" spans="1:12" x14ac:dyDescent="0.3">
      <c r="A159" s="8">
        <v>23</v>
      </c>
      <c r="B159" s="8" t="s">
        <v>12</v>
      </c>
      <c r="C159" t="s">
        <v>28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2</v>
      </c>
      <c r="K159">
        <v>3</v>
      </c>
      <c r="L159">
        <v>2</v>
      </c>
    </row>
    <row r="160" spans="1:12" x14ac:dyDescent="0.3">
      <c r="A160" s="8">
        <v>23</v>
      </c>
      <c r="B160" s="8" t="s">
        <v>12</v>
      </c>
      <c r="C160" t="s">
        <v>30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</row>
    <row r="161" spans="1:12" x14ac:dyDescent="0.3">
      <c r="A161" s="8">
        <v>23</v>
      </c>
      <c r="B161" s="8" t="s">
        <v>12</v>
      </c>
      <c r="C161" t="s">
        <v>31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3</v>
      </c>
      <c r="K161">
        <v>1</v>
      </c>
      <c r="L161">
        <v>3</v>
      </c>
    </row>
    <row r="162" spans="1:12" x14ac:dyDescent="0.3">
      <c r="A162" s="8">
        <v>23</v>
      </c>
      <c r="B162" s="8" t="s">
        <v>12</v>
      </c>
      <c r="C162" t="s">
        <v>32</v>
      </c>
      <c r="D162">
        <v>3</v>
      </c>
      <c r="E162">
        <v>2</v>
      </c>
      <c r="F162">
        <v>3</v>
      </c>
      <c r="G162">
        <v>3</v>
      </c>
      <c r="H162">
        <v>2</v>
      </c>
      <c r="I162">
        <v>3</v>
      </c>
      <c r="J162">
        <v>3</v>
      </c>
      <c r="K162">
        <v>1</v>
      </c>
      <c r="L162">
        <v>3</v>
      </c>
    </row>
    <row r="163" spans="1:12" x14ac:dyDescent="0.3">
      <c r="A163" s="8">
        <v>24</v>
      </c>
      <c r="B163" s="8" t="s">
        <v>14</v>
      </c>
      <c r="C163" s="2" t="s">
        <v>25</v>
      </c>
      <c r="D163">
        <v>2</v>
      </c>
      <c r="E163">
        <v>2</v>
      </c>
      <c r="F163">
        <v>2</v>
      </c>
      <c r="G163">
        <v>3</v>
      </c>
      <c r="H163">
        <v>3</v>
      </c>
      <c r="I163">
        <v>3</v>
      </c>
      <c r="J163">
        <v>2</v>
      </c>
      <c r="K163">
        <v>2</v>
      </c>
      <c r="L163">
        <v>2</v>
      </c>
    </row>
    <row r="164" spans="1:12" x14ac:dyDescent="0.3">
      <c r="A164" s="8">
        <v>24</v>
      </c>
      <c r="B164" s="8" t="s">
        <v>14</v>
      </c>
      <c r="C164" t="s">
        <v>26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</row>
    <row r="165" spans="1:12" x14ac:dyDescent="0.3">
      <c r="A165" s="8">
        <v>24</v>
      </c>
      <c r="B165" s="8" t="s">
        <v>14</v>
      </c>
      <c r="C165" t="s">
        <v>27</v>
      </c>
      <c r="D165">
        <v>3</v>
      </c>
      <c r="E165">
        <v>2</v>
      </c>
      <c r="F165">
        <v>3</v>
      </c>
      <c r="G165">
        <v>3</v>
      </c>
      <c r="H165">
        <v>3</v>
      </c>
      <c r="I165">
        <v>3</v>
      </c>
      <c r="J165">
        <v>1</v>
      </c>
      <c r="K165">
        <v>3</v>
      </c>
      <c r="L165">
        <v>3</v>
      </c>
    </row>
    <row r="166" spans="1:12" x14ac:dyDescent="0.3">
      <c r="A166" s="8">
        <v>24</v>
      </c>
      <c r="B166" s="8" t="s">
        <v>14</v>
      </c>
      <c r="C166" t="s">
        <v>28</v>
      </c>
      <c r="D166">
        <v>3</v>
      </c>
      <c r="E166">
        <v>3</v>
      </c>
      <c r="F166">
        <v>3</v>
      </c>
      <c r="G166">
        <v>3</v>
      </c>
      <c r="H166">
        <v>2</v>
      </c>
      <c r="I166">
        <v>3</v>
      </c>
      <c r="J166">
        <v>3</v>
      </c>
      <c r="K166">
        <v>3</v>
      </c>
      <c r="L166">
        <v>2</v>
      </c>
    </row>
    <row r="167" spans="1:12" x14ac:dyDescent="0.3">
      <c r="A167" s="8">
        <v>24</v>
      </c>
      <c r="B167" s="8" t="s">
        <v>14</v>
      </c>
      <c r="C167" t="s">
        <v>30</v>
      </c>
      <c r="D167">
        <v>3</v>
      </c>
      <c r="E167">
        <v>3</v>
      </c>
      <c r="F167">
        <v>1</v>
      </c>
      <c r="G167">
        <v>3</v>
      </c>
      <c r="H167">
        <v>3</v>
      </c>
      <c r="I167">
        <v>2</v>
      </c>
      <c r="J167">
        <v>3</v>
      </c>
      <c r="K167">
        <v>2</v>
      </c>
      <c r="L167">
        <v>2</v>
      </c>
    </row>
    <row r="168" spans="1:12" x14ac:dyDescent="0.3">
      <c r="A168" s="8">
        <v>24</v>
      </c>
      <c r="B168" s="8" t="s">
        <v>14</v>
      </c>
      <c r="C168" t="s">
        <v>31</v>
      </c>
      <c r="D168">
        <v>2</v>
      </c>
      <c r="E168">
        <v>1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3</v>
      </c>
    </row>
    <row r="169" spans="1:12" x14ac:dyDescent="0.3">
      <c r="A169" s="8">
        <v>24</v>
      </c>
      <c r="B169" s="8" t="s">
        <v>14</v>
      </c>
      <c r="C169" t="s">
        <v>32</v>
      </c>
      <c r="D169">
        <v>3</v>
      </c>
      <c r="E169">
        <v>3</v>
      </c>
      <c r="F169">
        <v>2</v>
      </c>
      <c r="G169">
        <v>3</v>
      </c>
      <c r="H169">
        <v>2</v>
      </c>
      <c r="I169">
        <v>1</v>
      </c>
      <c r="J169">
        <v>1</v>
      </c>
      <c r="K169">
        <v>1</v>
      </c>
      <c r="L169">
        <v>1</v>
      </c>
    </row>
    <row r="170" spans="1:12" x14ac:dyDescent="0.3">
      <c r="A170" s="8">
        <v>25</v>
      </c>
      <c r="B170" s="8" t="s">
        <v>39</v>
      </c>
      <c r="C170" s="2" t="s">
        <v>25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</row>
    <row r="171" spans="1:12" x14ac:dyDescent="0.3">
      <c r="A171" s="8">
        <v>25</v>
      </c>
      <c r="B171" s="8" t="s">
        <v>39</v>
      </c>
      <c r="C171" t="s">
        <v>26</v>
      </c>
      <c r="D171">
        <v>3</v>
      </c>
      <c r="E171">
        <v>3</v>
      </c>
      <c r="F171">
        <v>2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</row>
    <row r="172" spans="1:12" x14ac:dyDescent="0.3">
      <c r="A172" s="8">
        <v>25</v>
      </c>
      <c r="B172" s="8" t="s">
        <v>39</v>
      </c>
      <c r="C172" t="s">
        <v>27</v>
      </c>
      <c r="D172">
        <v>2</v>
      </c>
      <c r="E172">
        <v>1</v>
      </c>
      <c r="F172">
        <v>2</v>
      </c>
      <c r="G172">
        <v>2</v>
      </c>
      <c r="H172">
        <v>3</v>
      </c>
      <c r="I172">
        <v>2</v>
      </c>
      <c r="J172">
        <v>1</v>
      </c>
      <c r="K172">
        <v>3</v>
      </c>
      <c r="L172">
        <v>3</v>
      </c>
    </row>
    <row r="173" spans="1:12" x14ac:dyDescent="0.3">
      <c r="A173" s="8">
        <v>25</v>
      </c>
      <c r="B173" s="8" t="s">
        <v>39</v>
      </c>
      <c r="C173" t="s">
        <v>28</v>
      </c>
      <c r="D173">
        <v>3</v>
      </c>
      <c r="E173">
        <v>2</v>
      </c>
      <c r="F173">
        <v>3</v>
      </c>
      <c r="G173">
        <v>2</v>
      </c>
      <c r="H173">
        <v>2</v>
      </c>
      <c r="I173">
        <v>2</v>
      </c>
      <c r="J173">
        <v>3</v>
      </c>
      <c r="K173">
        <v>2</v>
      </c>
      <c r="L173">
        <v>3</v>
      </c>
    </row>
    <row r="174" spans="1:12" x14ac:dyDescent="0.3">
      <c r="A174" s="8">
        <v>25</v>
      </c>
      <c r="B174" s="8" t="s">
        <v>39</v>
      </c>
      <c r="C174" t="s">
        <v>30</v>
      </c>
      <c r="D174">
        <v>2</v>
      </c>
      <c r="E174">
        <v>3</v>
      </c>
      <c r="F174">
        <v>1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1</v>
      </c>
    </row>
    <row r="175" spans="1:12" x14ac:dyDescent="0.3">
      <c r="A175" s="8">
        <v>25</v>
      </c>
      <c r="B175" s="8" t="s">
        <v>39</v>
      </c>
      <c r="C175" t="s">
        <v>31</v>
      </c>
      <c r="D175">
        <v>1</v>
      </c>
      <c r="E175">
        <v>1</v>
      </c>
      <c r="F175">
        <v>2</v>
      </c>
      <c r="G175">
        <v>1</v>
      </c>
      <c r="H175">
        <v>2</v>
      </c>
      <c r="I175">
        <v>2</v>
      </c>
      <c r="J175">
        <v>0</v>
      </c>
      <c r="K175">
        <v>1</v>
      </c>
      <c r="L175">
        <v>2</v>
      </c>
    </row>
    <row r="176" spans="1:12" x14ac:dyDescent="0.3">
      <c r="A176" s="8">
        <v>25</v>
      </c>
      <c r="B176" s="8" t="s">
        <v>39</v>
      </c>
      <c r="C176" t="s">
        <v>32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0</v>
      </c>
      <c r="K176">
        <v>2</v>
      </c>
      <c r="L176">
        <v>1</v>
      </c>
    </row>
    <row r="177" spans="1:12" x14ac:dyDescent="0.3">
      <c r="A177" s="8">
        <v>26</v>
      </c>
      <c r="B177" s="8" t="s">
        <v>17</v>
      </c>
      <c r="C177" s="2" t="s">
        <v>25</v>
      </c>
      <c r="D177">
        <v>1</v>
      </c>
      <c r="E177">
        <v>1</v>
      </c>
      <c r="F177">
        <v>1</v>
      </c>
      <c r="G177">
        <v>2</v>
      </c>
      <c r="H177">
        <v>2</v>
      </c>
      <c r="I177">
        <v>2</v>
      </c>
      <c r="J177">
        <v>1</v>
      </c>
      <c r="K177">
        <v>1</v>
      </c>
      <c r="L177">
        <v>1</v>
      </c>
    </row>
    <row r="178" spans="1:12" x14ac:dyDescent="0.3">
      <c r="A178" s="8">
        <v>26</v>
      </c>
      <c r="B178" s="8" t="s">
        <v>17</v>
      </c>
      <c r="C178" t="s">
        <v>26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</row>
    <row r="179" spans="1:12" x14ac:dyDescent="0.3">
      <c r="A179" s="8">
        <v>26</v>
      </c>
      <c r="B179" s="8" t="s">
        <v>17</v>
      </c>
      <c r="C179" t="s">
        <v>27</v>
      </c>
      <c r="D179">
        <v>1</v>
      </c>
      <c r="E179">
        <v>3</v>
      </c>
      <c r="F179">
        <v>1</v>
      </c>
      <c r="G179">
        <v>1</v>
      </c>
      <c r="H179">
        <v>3</v>
      </c>
      <c r="I179">
        <v>1</v>
      </c>
      <c r="J179">
        <v>1</v>
      </c>
      <c r="K179">
        <v>3</v>
      </c>
      <c r="L179">
        <v>1</v>
      </c>
    </row>
    <row r="180" spans="1:12" x14ac:dyDescent="0.3">
      <c r="A180" s="8">
        <v>26</v>
      </c>
      <c r="B180" s="8" t="s">
        <v>17</v>
      </c>
      <c r="C180" t="s">
        <v>28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3</v>
      </c>
      <c r="K180">
        <v>3</v>
      </c>
      <c r="L180">
        <v>3</v>
      </c>
    </row>
    <row r="181" spans="1:12" x14ac:dyDescent="0.3">
      <c r="A181" s="8">
        <v>26</v>
      </c>
      <c r="B181" s="8" t="s">
        <v>17</v>
      </c>
      <c r="C181" t="s">
        <v>30</v>
      </c>
      <c r="D181">
        <v>2</v>
      </c>
      <c r="E181">
        <v>3</v>
      </c>
      <c r="F181">
        <v>2</v>
      </c>
      <c r="G181">
        <v>2</v>
      </c>
      <c r="H181">
        <v>3</v>
      </c>
      <c r="I181">
        <v>2</v>
      </c>
      <c r="J181">
        <v>2</v>
      </c>
      <c r="K181">
        <v>3</v>
      </c>
      <c r="L181">
        <v>1</v>
      </c>
    </row>
    <row r="182" spans="1:12" x14ac:dyDescent="0.3">
      <c r="A182" s="8">
        <v>26</v>
      </c>
      <c r="B182" s="8" t="s">
        <v>17</v>
      </c>
      <c r="C182" t="s">
        <v>31</v>
      </c>
      <c r="D182">
        <v>3</v>
      </c>
      <c r="E182">
        <v>3</v>
      </c>
      <c r="F182">
        <v>3</v>
      </c>
      <c r="G182">
        <v>3</v>
      </c>
      <c r="H182">
        <v>1</v>
      </c>
      <c r="I182">
        <v>3</v>
      </c>
      <c r="J182">
        <v>1</v>
      </c>
      <c r="K182">
        <v>3</v>
      </c>
      <c r="L182">
        <v>2</v>
      </c>
    </row>
    <row r="183" spans="1:12" x14ac:dyDescent="0.3">
      <c r="A183" s="8">
        <v>26</v>
      </c>
      <c r="B183" s="8" t="s">
        <v>17</v>
      </c>
      <c r="C183" t="s">
        <v>32</v>
      </c>
      <c r="D183">
        <v>1</v>
      </c>
      <c r="E183">
        <v>3</v>
      </c>
      <c r="F183">
        <v>1</v>
      </c>
      <c r="G183">
        <v>1</v>
      </c>
      <c r="H183">
        <v>2</v>
      </c>
      <c r="I183">
        <v>1</v>
      </c>
      <c r="J183">
        <v>1</v>
      </c>
      <c r="K183">
        <v>3</v>
      </c>
      <c r="L183">
        <v>1</v>
      </c>
    </row>
    <row r="184" spans="1:12" x14ac:dyDescent="0.3">
      <c r="A184" s="8">
        <v>27</v>
      </c>
      <c r="B184" s="8" t="s">
        <v>19</v>
      </c>
      <c r="C184" s="2" t="s">
        <v>25</v>
      </c>
      <c r="D184">
        <v>2</v>
      </c>
      <c r="E184">
        <v>2</v>
      </c>
      <c r="F184">
        <v>2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</row>
    <row r="185" spans="1:12" x14ac:dyDescent="0.3">
      <c r="A185" s="8">
        <v>27</v>
      </c>
      <c r="B185" s="8" t="s">
        <v>19</v>
      </c>
      <c r="C185" t="s">
        <v>26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</row>
    <row r="186" spans="1:12" x14ac:dyDescent="0.3">
      <c r="A186" s="8">
        <v>27</v>
      </c>
      <c r="B186" s="8" t="s">
        <v>19</v>
      </c>
      <c r="C186" t="s">
        <v>27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</row>
    <row r="187" spans="1:12" x14ac:dyDescent="0.3">
      <c r="A187" s="8">
        <v>27</v>
      </c>
      <c r="B187" s="8" t="s">
        <v>19</v>
      </c>
      <c r="C187" t="s">
        <v>28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2</v>
      </c>
      <c r="L187">
        <v>3</v>
      </c>
    </row>
    <row r="188" spans="1:12" x14ac:dyDescent="0.3">
      <c r="A188" s="8">
        <v>27</v>
      </c>
      <c r="B188" s="8" t="s">
        <v>19</v>
      </c>
      <c r="C188" t="s">
        <v>30</v>
      </c>
      <c r="D188">
        <v>2</v>
      </c>
      <c r="E188">
        <v>3</v>
      </c>
      <c r="F188">
        <v>2</v>
      </c>
      <c r="G188">
        <v>3</v>
      </c>
      <c r="H188">
        <v>3</v>
      </c>
      <c r="I188">
        <v>3</v>
      </c>
      <c r="J188">
        <v>2</v>
      </c>
      <c r="K188">
        <v>3</v>
      </c>
      <c r="L188">
        <v>1</v>
      </c>
    </row>
    <row r="189" spans="1:12" x14ac:dyDescent="0.3">
      <c r="A189" s="8">
        <v>27</v>
      </c>
      <c r="B189" s="8" t="s">
        <v>19</v>
      </c>
      <c r="C189" t="s">
        <v>31</v>
      </c>
      <c r="D189">
        <v>3</v>
      </c>
      <c r="E189">
        <v>3</v>
      </c>
      <c r="F189">
        <v>3</v>
      </c>
      <c r="G189">
        <v>3</v>
      </c>
      <c r="H189">
        <v>1</v>
      </c>
      <c r="I189">
        <v>3</v>
      </c>
      <c r="J189">
        <v>2</v>
      </c>
      <c r="K189">
        <v>2</v>
      </c>
      <c r="L189">
        <v>3</v>
      </c>
    </row>
    <row r="190" spans="1:12" x14ac:dyDescent="0.3">
      <c r="A190" s="8">
        <v>27</v>
      </c>
      <c r="B190" s="8" t="s">
        <v>19</v>
      </c>
      <c r="C190" t="s">
        <v>32</v>
      </c>
      <c r="D190">
        <v>3</v>
      </c>
      <c r="E190">
        <v>2</v>
      </c>
      <c r="F190">
        <v>3</v>
      </c>
      <c r="G190">
        <v>3</v>
      </c>
      <c r="H190">
        <v>2</v>
      </c>
      <c r="I190">
        <v>3</v>
      </c>
      <c r="J190">
        <v>2</v>
      </c>
      <c r="K190">
        <v>2</v>
      </c>
      <c r="L190">
        <v>2</v>
      </c>
    </row>
    <row r="191" spans="1:12" x14ac:dyDescent="0.3">
      <c r="A191" s="8">
        <v>28</v>
      </c>
      <c r="B191" s="8" t="s">
        <v>21</v>
      </c>
      <c r="C191" s="2" t="s">
        <v>25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</row>
    <row r="192" spans="1:12" x14ac:dyDescent="0.3">
      <c r="A192" s="8">
        <v>28</v>
      </c>
      <c r="B192" s="8" t="s">
        <v>21</v>
      </c>
      <c r="C192" t="s">
        <v>26</v>
      </c>
      <c r="D192">
        <v>3</v>
      </c>
      <c r="E192">
        <v>2</v>
      </c>
      <c r="F192">
        <v>2</v>
      </c>
      <c r="G192">
        <v>3</v>
      </c>
      <c r="H192">
        <v>2</v>
      </c>
      <c r="I192">
        <v>2</v>
      </c>
      <c r="J192">
        <v>3</v>
      </c>
      <c r="K192">
        <v>3</v>
      </c>
      <c r="L192">
        <v>3</v>
      </c>
    </row>
    <row r="193" spans="1:12" x14ac:dyDescent="0.3">
      <c r="A193" s="8">
        <v>28</v>
      </c>
      <c r="B193" s="8" t="s">
        <v>21</v>
      </c>
      <c r="C193" t="s">
        <v>27</v>
      </c>
      <c r="D193">
        <v>3</v>
      </c>
      <c r="E193">
        <v>3</v>
      </c>
      <c r="F193">
        <v>3</v>
      </c>
      <c r="G193">
        <v>2</v>
      </c>
      <c r="H193">
        <v>3</v>
      </c>
      <c r="I193">
        <v>3</v>
      </c>
      <c r="J193">
        <v>3</v>
      </c>
      <c r="K193">
        <v>3</v>
      </c>
      <c r="L193">
        <v>2</v>
      </c>
    </row>
    <row r="194" spans="1:12" x14ac:dyDescent="0.3">
      <c r="A194" s="8">
        <v>28</v>
      </c>
      <c r="B194" s="8" t="s">
        <v>21</v>
      </c>
      <c r="C194" t="s">
        <v>28</v>
      </c>
      <c r="D194">
        <v>3</v>
      </c>
      <c r="E194">
        <v>3</v>
      </c>
      <c r="F194">
        <v>3</v>
      </c>
      <c r="G194">
        <v>2</v>
      </c>
      <c r="H194">
        <v>3</v>
      </c>
      <c r="I194">
        <v>2</v>
      </c>
      <c r="J194">
        <v>3</v>
      </c>
      <c r="K194">
        <v>3</v>
      </c>
      <c r="L194">
        <v>2</v>
      </c>
    </row>
    <row r="195" spans="1:12" x14ac:dyDescent="0.3">
      <c r="A195" s="8">
        <v>28</v>
      </c>
      <c r="B195" s="8" t="s">
        <v>21</v>
      </c>
      <c r="C195" t="s">
        <v>30</v>
      </c>
      <c r="D195">
        <v>1</v>
      </c>
      <c r="E195">
        <v>3</v>
      </c>
      <c r="F195">
        <v>1</v>
      </c>
      <c r="G195">
        <v>2</v>
      </c>
      <c r="H195">
        <v>3</v>
      </c>
      <c r="I195">
        <v>1</v>
      </c>
      <c r="J195">
        <v>1</v>
      </c>
      <c r="K195">
        <v>3</v>
      </c>
      <c r="L195">
        <v>1</v>
      </c>
    </row>
    <row r="196" spans="1:12" x14ac:dyDescent="0.3">
      <c r="A196" s="8">
        <v>28</v>
      </c>
      <c r="B196" s="8" t="s">
        <v>21</v>
      </c>
      <c r="C196" t="s">
        <v>31</v>
      </c>
      <c r="D196">
        <v>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  <c r="K196">
        <v>3</v>
      </c>
      <c r="L196">
        <v>2</v>
      </c>
    </row>
    <row r="197" spans="1:12" x14ac:dyDescent="0.3">
      <c r="A197" s="8">
        <v>28</v>
      </c>
      <c r="B197" s="8" t="s">
        <v>21</v>
      </c>
      <c r="C197" t="s">
        <v>32</v>
      </c>
      <c r="D197">
        <v>1</v>
      </c>
      <c r="E197">
        <v>2</v>
      </c>
      <c r="F197">
        <v>2</v>
      </c>
      <c r="G197">
        <v>0</v>
      </c>
      <c r="H197">
        <v>2</v>
      </c>
      <c r="I197">
        <v>2</v>
      </c>
      <c r="J197">
        <v>1</v>
      </c>
      <c r="K197">
        <v>3</v>
      </c>
      <c r="L197">
        <v>1</v>
      </c>
    </row>
    <row r="198" spans="1:12" x14ac:dyDescent="0.3">
      <c r="A198" s="8">
        <v>29</v>
      </c>
      <c r="B198" s="8" t="s">
        <v>23</v>
      </c>
      <c r="C198" s="2" t="s">
        <v>25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</row>
    <row r="199" spans="1:12" x14ac:dyDescent="0.3">
      <c r="A199" s="8">
        <v>29</v>
      </c>
      <c r="B199" s="8" t="s">
        <v>23</v>
      </c>
      <c r="C199" t="s">
        <v>26</v>
      </c>
      <c r="D199">
        <v>1</v>
      </c>
      <c r="E199">
        <v>2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3</v>
      </c>
      <c r="L199">
        <v>3</v>
      </c>
    </row>
    <row r="200" spans="1:12" x14ac:dyDescent="0.3">
      <c r="A200" s="8">
        <v>29</v>
      </c>
      <c r="B200" s="8" t="s">
        <v>23</v>
      </c>
      <c r="C200" t="s">
        <v>27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3</v>
      </c>
      <c r="K200">
        <v>3</v>
      </c>
      <c r="L200">
        <v>3</v>
      </c>
    </row>
    <row r="201" spans="1:12" x14ac:dyDescent="0.3">
      <c r="A201" s="8">
        <v>29</v>
      </c>
      <c r="B201" s="8" t="s">
        <v>23</v>
      </c>
      <c r="C201" t="s">
        <v>28</v>
      </c>
      <c r="D201">
        <v>3</v>
      </c>
      <c r="E201">
        <v>2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</row>
    <row r="202" spans="1:12" x14ac:dyDescent="0.3">
      <c r="A202" s="8">
        <v>29</v>
      </c>
      <c r="B202" s="8" t="s">
        <v>23</v>
      </c>
      <c r="C202" t="s">
        <v>30</v>
      </c>
      <c r="D202">
        <v>3</v>
      </c>
      <c r="E202">
        <v>2</v>
      </c>
      <c r="F202">
        <v>1</v>
      </c>
      <c r="G202">
        <v>2</v>
      </c>
      <c r="H202">
        <v>3</v>
      </c>
      <c r="I202">
        <v>1</v>
      </c>
      <c r="J202">
        <v>2</v>
      </c>
      <c r="K202">
        <v>3</v>
      </c>
      <c r="L202">
        <v>1</v>
      </c>
    </row>
    <row r="203" spans="1:12" x14ac:dyDescent="0.3">
      <c r="A203" s="8">
        <v>29</v>
      </c>
      <c r="B203" s="8" t="s">
        <v>23</v>
      </c>
      <c r="C203" t="s">
        <v>31</v>
      </c>
      <c r="D203">
        <v>2</v>
      </c>
      <c r="E203">
        <v>2</v>
      </c>
      <c r="F203">
        <v>2</v>
      </c>
      <c r="G203">
        <v>1</v>
      </c>
      <c r="H203">
        <v>2</v>
      </c>
      <c r="I203">
        <v>1</v>
      </c>
      <c r="J203">
        <v>1</v>
      </c>
      <c r="K203">
        <v>2</v>
      </c>
      <c r="L203">
        <v>1</v>
      </c>
    </row>
    <row r="204" spans="1:12" x14ac:dyDescent="0.3">
      <c r="A204" s="8">
        <v>29</v>
      </c>
      <c r="B204" s="8" t="s">
        <v>23</v>
      </c>
      <c r="C204" t="s">
        <v>32</v>
      </c>
      <c r="D204">
        <v>1</v>
      </c>
      <c r="E204">
        <v>1</v>
      </c>
      <c r="F204">
        <v>1</v>
      </c>
      <c r="G204">
        <v>1</v>
      </c>
      <c r="H204">
        <v>2</v>
      </c>
      <c r="I204">
        <v>1</v>
      </c>
      <c r="J204">
        <v>2</v>
      </c>
      <c r="K204">
        <v>3</v>
      </c>
      <c r="L204">
        <v>2</v>
      </c>
    </row>
    <row r="205" spans="1:12" x14ac:dyDescent="0.3">
      <c r="A205" s="8">
        <v>30</v>
      </c>
      <c r="B205" s="8" t="s">
        <v>24</v>
      </c>
      <c r="C205" s="2" t="s">
        <v>25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</row>
    <row r="206" spans="1:12" x14ac:dyDescent="0.3">
      <c r="A206" s="8">
        <v>30</v>
      </c>
      <c r="B206" s="8" t="s">
        <v>24</v>
      </c>
      <c r="C206" t="s">
        <v>26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3</v>
      </c>
      <c r="K206">
        <v>2</v>
      </c>
      <c r="L206">
        <v>3</v>
      </c>
    </row>
    <row r="207" spans="1:12" x14ac:dyDescent="0.3">
      <c r="A207" s="8">
        <v>30</v>
      </c>
      <c r="B207" s="8" t="s">
        <v>24</v>
      </c>
      <c r="C207" t="s">
        <v>27</v>
      </c>
      <c r="D207">
        <v>2</v>
      </c>
      <c r="E207">
        <v>2</v>
      </c>
      <c r="F207">
        <v>2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</row>
    <row r="208" spans="1:12" x14ac:dyDescent="0.3">
      <c r="A208" s="8">
        <v>30</v>
      </c>
      <c r="B208" s="8" t="s">
        <v>24</v>
      </c>
      <c r="C208" t="s">
        <v>28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2</v>
      </c>
      <c r="K208">
        <v>3</v>
      </c>
      <c r="L208">
        <v>3</v>
      </c>
    </row>
    <row r="209" spans="1:12" x14ac:dyDescent="0.3">
      <c r="A209" s="8">
        <v>30</v>
      </c>
      <c r="B209" s="8" t="s">
        <v>24</v>
      </c>
      <c r="C209" t="s">
        <v>30</v>
      </c>
      <c r="D209">
        <v>3</v>
      </c>
      <c r="E209">
        <v>3</v>
      </c>
      <c r="F209">
        <v>1</v>
      </c>
      <c r="G209">
        <v>3</v>
      </c>
      <c r="H209">
        <v>3</v>
      </c>
      <c r="I209">
        <v>1</v>
      </c>
      <c r="J209">
        <v>3</v>
      </c>
      <c r="K209">
        <v>3</v>
      </c>
      <c r="L209">
        <v>1</v>
      </c>
    </row>
    <row r="210" spans="1:12" x14ac:dyDescent="0.3">
      <c r="A210" s="8">
        <v>30</v>
      </c>
      <c r="B210" s="8" t="s">
        <v>24</v>
      </c>
      <c r="C210" t="s">
        <v>31</v>
      </c>
      <c r="D210">
        <v>2</v>
      </c>
      <c r="E210">
        <v>1</v>
      </c>
      <c r="F210">
        <v>1</v>
      </c>
      <c r="G210">
        <v>2</v>
      </c>
      <c r="H210">
        <v>2</v>
      </c>
      <c r="I210">
        <v>2</v>
      </c>
      <c r="J210">
        <v>1</v>
      </c>
      <c r="K210">
        <v>2</v>
      </c>
      <c r="L210">
        <v>1</v>
      </c>
    </row>
    <row r="211" spans="1:12" x14ac:dyDescent="0.3">
      <c r="A211" s="8">
        <v>30</v>
      </c>
      <c r="B211" s="8" t="s">
        <v>24</v>
      </c>
      <c r="C211" t="s">
        <v>32</v>
      </c>
      <c r="D211">
        <v>2</v>
      </c>
      <c r="E211">
        <v>2</v>
      </c>
      <c r="F211">
        <v>1</v>
      </c>
      <c r="G211">
        <v>2</v>
      </c>
      <c r="H211">
        <v>2</v>
      </c>
      <c r="I211">
        <v>2</v>
      </c>
      <c r="J211">
        <v>2</v>
      </c>
      <c r="K211">
        <v>3</v>
      </c>
      <c r="L211">
        <v>1</v>
      </c>
    </row>
    <row r="212" spans="1:12" x14ac:dyDescent="0.3">
      <c r="A212" s="8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2E8FDACBFF884FB978E079E898B67C" ma:contentTypeVersion="17" ma:contentTypeDescription="Ein neues Dokument erstellen." ma:contentTypeScope="" ma:versionID="b55fa78c03d2434c24f87509f904c4da">
  <xsd:schema xmlns:xsd="http://www.w3.org/2001/XMLSchema" xmlns:xs="http://www.w3.org/2001/XMLSchema" xmlns:p="http://schemas.microsoft.com/office/2006/metadata/properties" xmlns:ns2="e532890a-ed67-47dc-bb93-1915b30ed86c" xmlns:ns3="87bbe071-bd98-4adc-bbdd-e60a5eaec7ad" targetNamespace="http://schemas.microsoft.com/office/2006/metadata/properties" ma:root="true" ma:fieldsID="2e1c382ab806abe265d332ddc73de5a6" ns2:_="" ns3:_="">
    <xsd:import namespace="e532890a-ed67-47dc-bb93-1915b30ed86c"/>
    <xsd:import namespace="87bbe071-bd98-4adc-bbdd-e60a5eaec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2890a-ed67-47dc-bb93-1915b30e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c994ab85-5d84-4d9a-995d-f6659e44b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be071-bd98-4adc-bbdd-e60a5eaec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a3be8e-ae50-492d-89f2-85fdd0dc0351}" ma:internalName="TaxCatchAll" ma:showField="CatchAllData" ma:web="87bbe071-bd98-4adc-bbdd-e60a5eaec7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bbe071-bd98-4adc-bbdd-e60a5eaec7ad" xsi:nil="true"/>
    <lcf76f155ced4ddcb4097134ff3c332f xmlns="e532890a-ed67-47dc-bb93-1915b30ed8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39CD21-8F5D-45C0-B142-194F9F615E06}"/>
</file>

<file path=customXml/itemProps2.xml><?xml version="1.0" encoding="utf-8"?>
<ds:datastoreItem xmlns:ds="http://schemas.openxmlformats.org/officeDocument/2006/customXml" ds:itemID="{1384722A-0223-41E6-9E12-12EE9B492D0B}"/>
</file>

<file path=customXml/itemProps3.xml><?xml version="1.0" encoding="utf-8"?>
<ds:datastoreItem xmlns:ds="http://schemas.openxmlformats.org/officeDocument/2006/customXml" ds:itemID="{F3A9004C-7BA2-4129-A04E-F9A696790D1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 &amp; Analysis</vt:lpstr>
      <vt:lpstr>Tabular Data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d.kulaszewski@stud.uni-goettingen.de</dc:creator>
  <cp:lastModifiedBy>Dario Kulaszewski</cp:lastModifiedBy>
  <dcterms:created xsi:type="dcterms:W3CDTF">2026-01-29T14:41:04Z</dcterms:created>
  <dcterms:modified xsi:type="dcterms:W3CDTF">2026-02-08T14:21:25Z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31ea36-a952-47b7-9947-3a1f727188a0_Enabled">
    <vt:lpwstr>true</vt:lpwstr>
  </property>
  <property fmtid="{D5CDD505-2E9C-101B-9397-08002B2CF9AE}" pid="3" name="MSIP_Label_a331ea36-a952-47b7-9947-3a1f727188a0_SetDate">
    <vt:lpwstr>2026-01-29T14:49:09Z</vt:lpwstr>
  </property>
  <property fmtid="{D5CDD505-2E9C-101B-9397-08002B2CF9AE}" pid="4" name="MSIP_Label_a331ea36-a952-47b7-9947-3a1f727188a0_Method">
    <vt:lpwstr>Standard</vt:lpwstr>
  </property>
  <property fmtid="{D5CDD505-2E9C-101B-9397-08002B2CF9AE}" pid="5" name="MSIP_Label_a331ea36-a952-47b7-9947-3a1f727188a0_Name">
    <vt:lpwstr>Intern</vt:lpwstr>
  </property>
  <property fmtid="{D5CDD505-2E9C-101B-9397-08002B2CF9AE}" pid="6" name="MSIP_Label_a331ea36-a952-47b7-9947-3a1f727188a0_SiteId">
    <vt:lpwstr>05764ee8-2451-407b-a046-1bf9f7519648</vt:lpwstr>
  </property>
  <property fmtid="{D5CDD505-2E9C-101B-9397-08002B2CF9AE}" pid="7" name="MSIP_Label_a331ea36-a952-47b7-9947-3a1f727188a0_ActionId">
    <vt:lpwstr>a037ee5f-8527-4efa-92ce-2d6e0c8d47a2</vt:lpwstr>
  </property>
  <property fmtid="{D5CDD505-2E9C-101B-9397-08002B2CF9AE}" pid="8" name="MSIP_Label_a331ea36-a952-47b7-9947-3a1f727188a0_ContentBits">
    <vt:lpwstr>2</vt:lpwstr>
  </property>
  <property fmtid="{D5CDD505-2E9C-101B-9397-08002B2CF9AE}" pid="9" name="MSIP_Label_a331ea36-a952-47b7-9947-3a1f727188a0_Tag">
    <vt:lpwstr>10, 3, 0, 1</vt:lpwstr>
  </property>
  <property fmtid="{D5CDD505-2E9C-101B-9397-08002B2CF9AE}" pid="10" name="ContentTypeId">
    <vt:lpwstr>0x0101001C2E8FDACBFF884FB978E079E898B67C</vt:lpwstr>
  </property>
</Properties>
</file>